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s" sheetId="1" r:id="rId4"/>
    <sheet state="visible" name="Dependency_Edges" sheetId="2" r:id="rId5"/>
    <sheet state="visible" name="Summary_Stats" sheetId="3" r:id="rId6"/>
  </sheets>
  <definedNames/>
  <calcPr/>
</workbook>
</file>

<file path=xl/sharedStrings.xml><?xml version="1.0" encoding="utf-8"?>
<sst xmlns="http://schemas.openxmlformats.org/spreadsheetml/2006/main" count="1884" uniqueCount="712">
  <si>
    <t>Honda RA621H – F1 Car Assembly Component Dataset</t>
  </si>
  <si>
    <t>Power Unit: Honda RA621H (2021)  |  Ref: Red Bull RB16B  |  Driver: Max Verstappen – WDC 2021</t>
  </si>
  <si>
    <t>Component ID</t>
  </si>
  <si>
    <t>Component Name</t>
  </si>
  <si>
    <t>Subsystem</t>
  </si>
  <si>
    <t>Depends On (IDs)</t>
  </si>
  <si>
    <t>Duration (hrs)</t>
  </si>
  <si>
    <t>Is Critical Path</t>
  </si>
  <si>
    <t>Weight (kg)</t>
  </si>
  <si>
    <t>Material</t>
  </si>
  <si>
    <t>Notes</t>
  </si>
  <si>
    <t>C001</t>
  </si>
  <si>
    <t>V6 Cylinder Block (1.6L 90° Bank)</t>
  </si>
  <si>
    <t>ICE – Internal Combustion Engine</t>
  </si>
  <si>
    <t>✓ CRITICAL</t>
  </si>
  <si>
    <t>Cast Aluminium Alloy</t>
  </si>
  <si>
    <t>80mm bore, 90° bank angle per FIA regs. K-Plating applied (Kumamoto method) to bore surface</t>
  </si>
  <si>
    <t>C002</t>
  </si>
  <si>
    <t>Crankshaft</t>
  </si>
  <si>
    <t>Forged Steel</t>
  </si>
  <si>
    <t>Connects to MGU-K via gear. Must balance torsional resonance (key failure mode 2015–2017)</t>
  </si>
  <si>
    <t>C003</t>
  </si>
  <si>
    <t>Connecting Rods (x6)</t>
  </si>
  <si>
    <t>C001,C002</t>
  </si>
  <si>
    <t>Titanium Alloy</t>
  </si>
  <si>
    <t>Ultra-lightweight; 6 cylinders, each 150g. Tolerance &lt;0.01mm</t>
  </si>
  <si>
    <t>C004</t>
  </si>
  <si>
    <t>Pistons (x6)</t>
  </si>
  <si>
    <t>C001,C003</t>
  </si>
  <si>
    <t>Forged Aluminium / Steel Crown</t>
  </si>
  <si>
    <t>3D-printed steel pistons (additive mfg) used from RA620H 2020. Complex internal ribbing</t>
  </si>
  <si>
    <t>C005</t>
  </si>
  <si>
    <t>Piston Rings (x18)</t>
  </si>
  <si>
    <t>—</t>
  </si>
  <si>
    <t>Chrome-Molybdenum Steel</t>
  </si>
  <si>
    <t>3 rings per piston; K-Plating bore reduces ring wear at high combustion pressure</t>
  </si>
  <si>
    <t>C006</t>
  </si>
  <si>
    <t>Cylinder Head (x2 banks)</t>
  </si>
  <si>
    <t>C001,C004</t>
  </si>
  <si>
    <t>Aluminium Alloy</t>
  </si>
  <si>
    <t>32° valve angle, flat-top combustion chamber for rapid combustion (RA621H 2021 redesign)</t>
  </si>
  <si>
    <t>C007</t>
  </si>
  <si>
    <t>Intake Valves (x12)</t>
  </si>
  <si>
    <t>2 intake valves per cylinder. Minimum stem diameter 5mm per FIA regs</t>
  </si>
  <si>
    <t>C008</t>
  </si>
  <si>
    <t>Exhaust Valves (x12)</t>
  </si>
  <si>
    <t>Inconel 713</t>
  </si>
  <si>
    <t>High-temp alloy; exhaust exits outside bank (per regs). Feeds turbine</t>
  </si>
  <si>
    <t>C009</t>
  </si>
  <si>
    <t>Camshafts (x4)</t>
  </si>
  <si>
    <t>C006,C007,C008</t>
  </si>
  <si>
    <t>Case-Hardened Steel</t>
  </si>
  <si>
    <t>2 DOHC per bank. Drives valve timing. Pneumatic valve springs (not mechanical)</t>
  </si>
  <si>
    <t>C010</t>
  </si>
  <si>
    <t>Valve Actuation – Pneumatic System</t>
  </si>
  <si>
    <t>Titanium / Stainless Steel</t>
  </si>
  <si>
    <t>Replaces coil springs; enables 20,000+ rpm without valve float</t>
  </si>
  <si>
    <t>C011</t>
  </si>
  <si>
    <t>Engine Block Lower Casing</t>
  </si>
  <si>
    <t>Cast Aluminium</t>
  </si>
  <si>
    <t>Structural load path for PU mounting to gearbox</t>
  </si>
  <si>
    <t>C012</t>
  </si>
  <si>
    <t>Direct Injection System (x6 injectors)</t>
  </si>
  <si>
    <t>Stainless Steel / Piezo</t>
  </si>
  <si>
    <t>Max injection pressure 500 bar per FIA regs. Critical for new combustion process (2019+)</t>
  </si>
  <si>
    <t>C013</t>
  </si>
  <si>
    <t>Ignition System (x6 coils + spark plugs)</t>
  </si>
  <si>
    <t>C006,C012</t>
  </si>
  <si>
    <t>Iridium / Copper Core</t>
  </si>
  <si>
    <t>Synchronised with MGU-H energy recovery for combustion efficiency</t>
  </si>
  <si>
    <t>C014</t>
  </si>
  <si>
    <t>Exhaust Manifold (equal-length runners)</t>
  </si>
  <si>
    <t>Inconel 625</t>
  </si>
  <si>
    <t>Individual equal-length runners reworked RA617H+. Feeds turbine efficiently</t>
  </si>
  <si>
    <t>C015</t>
  </si>
  <si>
    <t>Engine Assembly &amp; Bench Calibration</t>
  </si>
  <si>
    <t>C001,C002,C003,C004,C005,C006,C007,C008,C009,C010,C011,C012,C013,C014</t>
  </si>
  <si>
    <t>Full ICE assembly + dyno calibration at Sakura HRC facility</t>
  </si>
  <si>
    <t>C016</t>
  </si>
  <si>
    <t>Turbine Housing</t>
  </si>
  <si>
    <t>Turbocharger System</t>
  </si>
  <si>
    <t>Inconel (3D-printed)</t>
  </si>
  <si>
    <t>Additive manufactured from 2020. Rear-projecting layout (RA617H+ redesign)</t>
  </si>
  <si>
    <t>C017</t>
  </si>
  <si>
    <t>Turbine Blades / Wheel</t>
  </si>
  <si>
    <t>Nickel Superalloy</t>
  </si>
  <si>
    <t>3D complex blade geometry for high efficiency. HondaJet gas turbine knowledge applied</t>
  </si>
  <si>
    <t>C018</t>
  </si>
  <si>
    <t>Compressor Housing</t>
  </si>
  <si>
    <t>Front-projecting (RA617H redesign). Freed from V-bank; larger size for higher airflow</t>
  </si>
  <si>
    <t>C019</t>
  </si>
  <si>
    <t>Compressor Wheel</t>
  </si>
  <si>
    <t>Wide pressure ratio coverage. Redesigned 2019 French GP for efficiency across full range</t>
  </si>
  <si>
    <t>C020</t>
  </si>
  <si>
    <t>Turbo Shaft (MGU-H Drive Shaft)</t>
  </si>
  <si>
    <t>C017,C019</t>
  </si>
  <si>
    <t>High-strength Steel</t>
  </si>
  <si>
    <t>Connects turbine-MGU-H-compressor. Changed to longer shaft 2017 for turbine efficiency</t>
  </si>
  <si>
    <t>C021</t>
  </si>
  <si>
    <t>Turbo Bearing Assembly</t>
  </si>
  <si>
    <t>Ceramic / Steel (oil-lubricated)</t>
  </si>
  <si>
    <t>Changed greased→oil lubrication RA618H. Pressurized chamber to seal oil at 100k+ rpm</t>
  </si>
  <si>
    <t>C022</t>
  </si>
  <si>
    <t>Charge Air Cooler (Inter-cooler)</t>
  </si>
  <si>
    <t>C019,C018</t>
  </si>
  <si>
    <t>Aluminium</t>
  </si>
  <si>
    <t>Cools compressed air before intake. Compact design per McLaren era (RA615H)</t>
  </si>
  <si>
    <t>C023</t>
  </si>
  <si>
    <t>Wastegate Actuator</t>
  </si>
  <si>
    <t>Stainless Steel</t>
  </si>
  <si>
    <t>Bypasses excess exhaust; less critical with MGU-H managing boost</t>
  </si>
  <si>
    <t>C024</t>
  </si>
  <si>
    <t>Turbocharger Sub-Assembly</t>
  </si>
  <si>
    <t>C016,C017,C018,C019,C020,C021,C022,C023</t>
  </si>
  <si>
    <t>Full turbo unit assembled before mating with MGU-H</t>
  </si>
  <si>
    <t>C025</t>
  </si>
  <si>
    <t>MGU-H Rotor &amp; Magnet Assembly</t>
  </si>
  <si>
    <t>Hybrid – MGU-H</t>
  </si>
  <si>
    <t>High-flux Neodymium Magnets</t>
  </si>
  <si>
    <t>RA621H: high magnetic flux density magnets + high thermal conductivity insulators</t>
  </si>
  <si>
    <t>C026</t>
  </si>
  <si>
    <t>MGU-H Stator Windings</t>
  </si>
  <si>
    <t>Copper / Insulated Litz Wire</t>
  </si>
  <si>
    <t>Converts shaft rotation→electricity (gen mode) or electricity→shaft (motor mode)</t>
  </si>
  <si>
    <t>C027</t>
  </si>
  <si>
    <t>MGU-H Housing</t>
  </si>
  <si>
    <t>C025,C026</t>
  </si>
  <si>
    <t>Pressurized chamber for oil sealing. Sandwiched between turbine &amp; compressor</t>
  </si>
  <si>
    <t>C028</t>
  </si>
  <si>
    <t>MGU-H Cooling Circuit</t>
  </si>
  <si>
    <t>Aluminium / Polymer</t>
  </si>
  <si>
    <t>Maintains thermal limits at 125,000 rpm. Critical for RA621H output targets</t>
  </si>
  <si>
    <t>C029</t>
  </si>
  <si>
    <t>MGU-H Assembly (complete)</t>
  </si>
  <si>
    <t>C024,C025,C026,C027,C028</t>
  </si>
  <si>
    <t>Mated to turbo shaft. Min weight 4kg. Power ~90-100 kW at 125,000 rpm</t>
  </si>
  <si>
    <t>C030</t>
  </si>
  <si>
    <t>MGU-K Rotor &amp; Magnet Assembly</t>
  </si>
  <si>
    <t>Hybrid – MGU-K</t>
  </si>
  <si>
    <t>RA621H gear ratio change allows energy recovery at even lower engine speeds</t>
  </si>
  <si>
    <t>C031</t>
  </si>
  <si>
    <t>MGU-K Stator Windings</t>
  </si>
  <si>
    <t>Copper / Litz Wire</t>
  </si>
  <si>
    <t>Max output 120 kW / 200 Nm per FIA regs. Housing rigidity increased RA621H for vibration</t>
  </si>
  <si>
    <t>C032</t>
  </si>
  <si>
    <t>MGU-K Gear Interface</t>
  </si>
  <si>
    <t>C030,C031,C002</t>
  </si>
  <si>
    <t>Case-hardened Steel Gears</t>
  </si>
  <si>
    <t>Connects MGU-K to crankshaft. Shaft weakness (spring design) resolved torsional resonance</t>
  </si>
  <si>
    <t>C033</t>
  </si>
  <si>
    <t>MGU-K Housing &amp; Bearing</t>
  </si>
  <si>
    <t>C030,C031</t>
  </si>
  <si>
    <t>Aluminium / Steel Bearings</t>
  </si>
  <si>
    <t>Bearing support changed 2018; radial load allowance increased after bench-vs-installed failure</t>
  </si>
  <si>
    <t>C034</t>
  </si>
  <si>
    <t>MGU-K Assembly (complete)</t>
  </si>
  <si>
    <t>C030,C031,C032,C033</t>
  </si>
  <si>
    <t>Connected to crankshaft gear. Provides up to 160 bhp ERS deployment</t>
  </si>
  <si>
    <t>C035</t>
  </si>
  <si>
    <t>Li-Ion Battery Cells (ES)</t>
  </si>
  <si>
    <t>Energy Store (ES)</t>
  </si>
  <si>
    <t>Lithium-Ion Polymer</t>
  </si>
  <si>
    <t>High-performance specialist battery. Max 4 MJ deploy per lap / 2 MJ recover via MGU-K</t>
  </si>
  <si>
    <t>C036</t>
  </si>
  <si>
    <t>Battery Management System (BMS)</t>
  </si>
  <si>
    <t>PCB / Custom ASIC</t>
  </si>
  <si>
    <t>Manages thermal limits, charge/discharge rate, and voltage balance</t>
  </si>
  <si>
    <t>C037</t>
  </si>
  <si>
    <t>ES Thermal Management</t>
  </si>
  <si>
    <t>C035,C036</t>
  </si>
  <si>
    <t>Aluminium / Cooling Plates</t>
  </si>
  <si>
    <t>Fast charge/discharge generates extreme heat. Integrated liquid cooling</t>
  </si>
  <si>
    <t>C038</t>
  </si>
  <si>
    <t>Power Electronics / Inverter Unit</t>
  </si>
  <si>
    <t>C029,C034,C035,C036,C037</t>
  </si>
  <si>
    <t>Silicon Carbide (SiC) MOSFETs</t>
  </si>
  <si>
    <t>Bi-directional AC/DC converters. Enables direct MGU-H→MGU-K routing bypassing battery</t>
  </si>
  <si>
    <t>C039</t>
  </si>
  <si>
    <t>Dry-Sump Oil Tank</t>
  </si>
  <si>
    <t>Lubrication System</t>
  </si>
  <si>
    <t>Carbon Fibre / Aluminium</t>
  </si>
  <si>
    <t>Low-profile for CoG; separated from engine block</t>
  </si>
  <si>
    <t>C040</t>
  </si>
  <si>
    <t>Oil Pump &amp; Scavenge Pumps</t>
  </si>
  <si>
    <t>Machined Aluminium</t>
  </si>
  <si>
    <t>Multiple scavenge pumps for high-G cornering oil control</t>
  </si>
  <si>
    <t>C041</t>
  </si>
  <si>
    <t>Oil Cooler</t>
  </si>
  <si>
    <t>C039,C040</t>
  </si>
  <si>
    <t>Keeps oil at optimal viscosity; integrated into cooling circuit</t>
  </si>
  <si>
    <t>C042</t>
  </si>
  <si>
    <t>Oil Filter &amp; Pressure Regulators</t>
  </si>
  <si>
    <t>Prevents particulate damage. Critical for engine life management (2–3 races per PU)</t>
  </si>
  <si>
    <t>C043</t>
  </si>
  <si>
    <t>Water Pump (Electric)</t>
  </si>
  <si>
    <t>Cooling System</t>
  </si>
  <si>
    <t>Machined Aluminium / Impeller</t>
  </si>
  <si>
    <t>Electrically driven for independent cooling control</t>
  </si>
  <si>
    <t>C044</t>
  </si>
  <si>
    <t>Radiators (x2 side pods)</t>
  </si>
  <si>
    <t>Aluminium Core / Carbon Ducts</t>
  </si>
  <si>
    <t>Side pod mounted. Compact design to minimise aerodynamic drag</t>
  </si>
  <si>
    <t>C045</t>
  </si>
  <si>
    <t>Coolant Hoses &amp; Distribution Lines</t>
  </si>
  <si>
    <t>C043,C044</t>
  </si>
  <si>
    <t>Silicone / Composite</t>
  </si>
  <si>
    <t>Routes coolant to ICE, MGU-K, ES. High-temp rated &gt;180°C</t>
  </si>
  <si>
    <t>C046</t>
  </si>
  <si>
    <t>Fuel Tank (FIA Bladder, ~100kg capacity)</t>
  </si>
  <si>
    <t>Fuel System</t>
  </si>
  <si>
    <t>FIA Kevlar Bladder</t>
  </si>
  <si>
    <t>Crash-tested safety bladder. Positioned centrally for weight distribution</t>
  </si>
  <si>
    <t>C047</t>
  </si>
  <si>
    <t>Fuel Pump &amp; Pressure Regulator</t>
  </si>
  <si>
    <t>Stainless Steel / Titanium</t>
  </si>
  <si>
    <t>Must supply 100 kg/hr max flow rate (FIA regulated). High-pressure to injectors</t>
  </si>
  <si>
    <t>C048</t>
  </si>
  <si>
    <t>Fuel Filter &amp; Lines</t>
  </si>
  <si>
    <t>C046,C047</t>
  </si>
  <si>
    <t>Stainless / PTFE-lined</t>
  </si>
  <si>
    <t>Prevents injector damage. Zero tolerance for particulate contamination</t>
  </si>
  <si>
    <t>C049</t>
  </si>
  <si>
    <t>Engine Control Unit (ECU) – FIA Standard</t>
  </si>
  <si>
    <t>Electronics &amp; Control</t>
  </si>
  <si>
    <t>Custom ASIC / PCB</t>
  </si>
  <si>
    <t>FIA mandated McLaren TAG-320 ECU. Controls all PU functions + energy management</t>
  </si>
  <si>
    <t>C050</t>
  </si>
  <si>
    <t>Wiring Loom (PU section)</t>
  </si>
  <si>
    <t>Shielded Copper / PTFE</t>
  </si>
  <si>
    <t>~1 km total wiring in F1 car. PU section manages MGU-H, MGU-K, ES, ICE signals</t>
  </si>
  <si>
    <t>C051</t>
  </si>
  <si>
    <t>Sensors Array (temp/pressure/speed – PU)</t>
  </si>
  <si>
    <t>C049,C050</t>
  </si>
  <si>
    <t>Piezoelectric / Thermocouple</t>
  </si>
  <si>
    <t>100s of sensors. Data telemetered live to Sakura HRC during race</t>
  </si>
  <si>
    <t>C052</t>
  </si>
  <si>
    <t>Carbon Fibre Monocoque (Survival Cell)</t>
  </si>
  <si>
    <t>Chassis &amp; Monocoque</t>
  </si>
  <si>
    <t>Carbon Fibre Composite (CFRP)</t>
  </si>
  <si>
    <t>Autoclave-cured CFRP. Accuracy ±0.05mm. Integrates survival cell, fuel tank cavity</t>
  </si>
  <si>
    <t>C053</t>
  </si>
  <si>
    <t>Roll Hoop (Halo + Main)</t>
  </si>
  <si>
    <t>Carbon Fibre / Titanium</t>
  </si>
  <si>
    <t>Halo (titanium, 7.5mm thick) mandatory since 2018. Withstands 125 kN load</t>
  </si>
  <si>
    <t>C054</t>
  </si>
  <si>
    <t>Ballast Weights</t>
  </si>
  <si>
    <t>Tungsten</t>
  </si>
  <si>
    <t>Adjust CoG and minimum weight (798 kg with driver 2021). Critical for balance</t>
  </si>
  <si>
    <t>C055</t>
  </si>
  <si>
    <t>Mounting Points – Engine &amp; Gearbox</t>
  </si>
  <si>
    <t>C052,C015</t>
  </si>
  <si>
    <t>CFRP insert / Ti bolts</t>
  </si>
  <si>
    <t>Engine stressed member of chassis. PU acts as structural element</t>
  </si>
  <si>
    <t>C056</t>
  </si>
  <si>
    <t>Front Upper Wishbone (x2)</t>
  </si>
  <si>
    <t>Suspension – Front</t>
  </si>
  <si>
    <t>Carbon Fibre</t>
  </si>
  <si>
    <t>Double wishbone geometry. Push-rod actuation layout front</t>
  </si>
  <si>
    <t>C057</t>
  </si>
  <si>
    <t>Front Lower Wishbone (x2)</t>
  </si>
  <si>
    <t>Aero-shaped cross-section to manage underfloor airflow</t>
  </si>
  <si>
    <t>C058</t>
  </si>
  <si>
    <t>Front Push-Rod (x2)</t>
  </si>
  <si>
    <t>C056,C057</t>
  </si>
  <si>
    <t>Transmits suspension loads to inboard rocker</t>
  </si>
  <si>
    <t>C059</t>
  </si>
  <si>
    <t>Front Rockers &amp; Torsion Bars (x2)</t>
  </si>
  <si>
    <t>Adjustable setup for different circuit characteristics (stiff vs compliant)</t>
  </si>
  <si>
    <t>C060</t>
  </si>
  <si>
    <t>Front Upright &amp; Hub Assembly (x2)</t>
  </si>
  <si>
    <t>Billet Aluminium / Ti</t>
  </si>
  <si>
    <t>Houses wheel bearing; interfaces with brake caliper and wheel</t>
  </si>
  <si>
    <t>C061</t>
  </si>
  <si>
    <t>Front Anti-Roll Bar</t>
  </si>
  <si>
    <t>Controls body roll in cornering. Adjustable stiffness</t>
  </si>
  <si>
    <t>C062</t>
  </si>
  <si>
    <t>Rear Upper Wishbone (x2)</t>
  </si>
  <si>
    <t>Suspension – Rear</t>
  </si>
  <si>
    <t>Pull-rod rear actuation layout (RB16B). Lower CoG benefit</t>
  </si>
  <si>
    <t>C063</t>
  </si>
  <si>
    <t>Rear Lower Wishbone (x2)</t>
  </si>
  <si>
    <t>Designed around gearbox casing geometry</t>
  </si>
  <si>
    <t>C064</t>
  </si>
  <si>
    <t>Rear Pull-Rod (x2)</t>
  </si>
  <si>
    <t>C062,C063</t>
  </si>
  <si>
    <t>Loads fed down to gearbox-mounted damper unit</t>
  </si>
  <si>
    <t>C065</t>
  </si>
  <si>
    <t>Rear Rockers &amp; Damper Unit (x2)</t>
  </si>
  <si>
    <t>Titanium / Aluminium</t>
  </si>
  <si>
    <t>Gearbox integrated. Complex multi-element damper</t>
  </si>
  <si>
    <t>C066</t>
  </si>
  <si>
    <t>Rear Upright &amp; Hub Assembly (x2)</t>
  </si>
  <si>
    <t>Interfaces with brake-by-wire system and driveshaft</t>
  </si>
  <si>
    <t>C067</t>
  </si>
  <si>
    <t>Rear Anti-Roll Bar</t>
  </si>
  <si>
    <t>Adjustable; key setup parameter for rear stability</t>
  </si>
  <si>
    <t>C068</t>
  </si>
  <si>
    <t>Front Wing Mainplane</t>
  </si>
  <si>
    <t>Aerodynamics – Front</t>
  </si>
  <si>
    <t>Carbon Fibre Composite</t>
  </si>
  <si>
    <t>Most complex aero part. 4–6 weeks design+test. Multiple elements for downforce</t>
  </si>
  <si>
    <t>C069</t>
  </si>
  <si>
    <t>Front Wing Flap Cascade Elements (x4)</t>
  </si>
  <si>
    <t>Adjustable for downforce level. Replaced each race weekend after contact risk</t>
  </si>
  <si>
    <t>C070</t>
  </si>
  <si>
    <t>Nose Cone (crash structure)</t>
  </si>
  <si>
    <t>C068,C052</t>
  </si>
  <si>
    <t>Carbon Fibre / Nomex Honeycomb</t>
  </si>
  <si>
    <t>FIA crash-tested. Sacrificial structure. Shaped for aerodynamic entry</t>
  </si>
  <si>
    <t>C071</t>
  </si>
  <si>
    <t>Bargeboard / Vane Package</t>
  </si>
  <si>
    <t>C052,C070</t>
  </si>
  <si>
    <t>Directs airflow to sidepods and floor. High-update rate component across season</t>
  </si>
  <si>
    <t>C072</t>
  </si>
  <si>
    <t>Floor &amp; Skid Block Assembly</t>
  </si>
  <si>
    <t>Carbon Fibre / Plank (hardwood)</t>
  </si>
  <si>
    <t>Generates significant ground effect downforce. FIA-regulated 10mm wooden plank</t>
  </si>
  <si>
    <t>C073</t>
  </si>
  <si>
    <t>Rear Wing Mainplane</t>
  </si>
  <si>
    <t>Aerodynamics – Rear</t>
  </si>
  <si>
    <t>Fixed structure. Angle adjusted per circuit (Monaco high vs Monza low downforce)</t>
  </si>
  <si>
    <t>C074</t>
  </si>
  <si>
    <t>DRS Flap (Drag Reduction System)</t>
  </si>
  <si>
    <t>FIA-controlled actuation. Opens on designated DRS zones to reduce drag ~20%</t>
  </si>
  <si>
    <t>C075</t>
  </si>
  <si>
    <t>Beam Wing</t>
  </si>
  <si>
    <t>C073,C055</t>
  </si>
  <si>
    <t>Lower secondary element below rear wing. Seals diffuser exit flow</t>
  </si>
  <si>
    <t>C076</t>
  </si>
  <si>
    <t>Diffuser</t>
  </si>
  <si>
    <t>C072,C055</t>
  </si>
  <si>
    <t>Accelerates underfloor airflow exit. Critical ground-effect component</t>
  </si>
  <si>
    <t>C077</t>
  </si>
  <si>
    <t>Gearbox Casing (8-speed semi-auto)</t>
  </si>
  <si>
    <t>Gearbox &amp; Drivetrain</t>
  </si>
  <si>
    <t>8-speed seamless shift. Acts as structural rear suspension carrier (RB16B)</t>
  </si>
  <si>
    <t>C078</t>
  </si>
  <si>
    <t>Gear Stack &amp; Selector Mechanism</t>
  </si>
  <si>
    <t>Case-hardened Steel</t>
  </si>
  <si>
    <t>Seamless shift: next gear pre-engaged. &lt;5ms shift time. Barrel cam selection</t>
  </si>
  <si>
    <t>C079</t>
  </si>
  <si>
    <t>Differential</t>
  </si>
  <si>
    <t>C077,C078</t>
  </si>
  <si>
    <t>Titanium / Steel</t>
  </si>
  <si>
    <t>Multi-plate clutch diff. Adjustable ramp angles for traction balance</t>
  </si>
  <si>
    <t>C080</t>
  </si>
  <si>
    <t>Driveshafts (x2)</t>
  </si>
  <si>
    <t>C079,C066</t>
  </si>
  <si>
    <t>Carbon Fibre / CV Joints Ti</t>
  </si>
  <si>
    <t>Constant-velocity joints for suspension articulation + high-torque delivery</t>
  </si>
  <si>
    <t>C081</t>
  </si>
  <si>
    <t>Clutch Assembly</t>
  </si>
  <si>
    <t>C077,C034</t>
  </si>
  <si>
    <t>Carbon-Carbon Multi-plate</t>
  </si>
  <si>
    <t>Paddle-operated. Must accommodate MGU-K torque delivery during race start</t>
  </si>
  <si>
    <t>C082</t>
  </si>
  <si>
    <t>Carbon Brake Discs – Front (x2)</t>
  </si>
  <si>
    <t>Braking System</t>
  </si>
  <si>
    <t>Carbon-Carbon Composite</t>
  </si>
  <si>
    <t>~1000°C operational temp. 28mm thick. Glowing red during braking visible in races</t>
  </si>
  <si>
    <t>C083</t>
  </si>
  <si>
    <t>Carbon Brake Discs – Rear (x2)</t>
  </si>
  <si>
    <t>Brake-by-wire rear (coordinates with MGU-K regen braking)</t>
  </si>
  <si>
    <t>C084</t>
  </si>
  <si>
    <t>Brake Calipers – Front (x2)</t>
  </si>
  <si>
    <t>C060,C082</t>
  </si>
  <si>
    <t>Billet Aluminium (Brembo)</t>
  </si>
  <si>
    <t>6-piston monoblock caliper. Custom made per team specification</t>
  </si>
  <si>
    <t>C085</t>
  </si>
  <si>
    <t>Brake Calipers – Rear (x2)</t>
  </si>
  <si>
    <t>C066,C083</t>
  </si>
  <si>
    <t>Integrated brake-by-wire actuator for regen coordination</t>
  </si>
  <si>
    <t>C086</t>
  </si>
  <si>
    <t>Brake Ducts &amp; Cooling Scoops (x4)</t>
  </si>
  <si>
    <t>C082,C083,C084,C085</t>
  </si>
  <si>
    <t>Circuit-specific. Minimal cooling (low drag) at Monza; maximum at Monaco</t>
  </si>
  <si>
    <t>C087</t>
  </si>
  <si>
    <t>Master Cylinders &amp; Brake-by-Wire ECU</t>
  </si>
  <si>
    <t>C049,C083,C085</t>
  </si>
  <si>
    <t>Aluminium / Electronics</t>
  </si>
  <si>
    <t>Blends hydraulic front brakes with electric rear braking from MGU-K</t>
  </si>
  <si>
    <t>C088</t>
  </si>
  <si>
    <t>Forged Magnesium Wheels – Front (x2)</t>
  </si>
  <si>
    <t>Wheels &amp; Tyres</t>
  </si>
  <si>
    <t>Forged Magnesium Alloy</t>
  </si>
  <si>
    <t>18-inch (from 2022 regs). Centre-lock. OZ Racing supplied</t>
  </si>
  <si>
    <t>C089</t>
  </si>
  <si>
    <t>Forged Magnesium Wheels – Rear (x2)</t>
  </si>
  <si>
    <t>Wider than front. Must withstand 12,000 Nm under heavy acceleration</t>
  </si>
  <si>
    <t>C090</t>
  </si>
  <si>
    <t>Pirelli P Zero Tyres – set (4)</t>
  </si>
  <si>
    <t>C088,C089</t>
  </si>
  <si>
    <t>Rubber / Kevlar Belts</t>
  </si>
  <si>
    <t>5 compounds: C1–C5. Teams receive 13 sets per race weekend (2021 regs)</t>
  </si>
  <si>
    <t>C091</t>
  </si>
  <si>
    <t>Halo Titanium Structure</t>
  </si>
  <si>
    <t>Cockpit &amp; Safety</t>
  </si>
  <si>
    <t>Grade 5 Titanium (6Al-4V)</t>
  </si>
  <si>
    <t>Mandatory since 2018. 125 kN frontal load requirement. Saved Leclerc, Zhou lives</t>
  </si>
  <si>
    <t>C092</t>
  </si>
  <si>
    <t>Driver Seat (custom moulded)</t>
  </si>
  <si>
    <t>Moulded to specific driver. Removes in &lt;5s for rescue. HANS device compatible</t>
  </si>
  <si>
    <t>C093</t>
  </si>
  <si>
    <t>Steering Wheel &amp; Column</t>
  </si>
  <si>
    <t>C052,C049</t>
  </si>
  <si>
    <t>Carbon Fibre / Electronics</t>
  </si>
  <si>
    <t>~25 buttons, rotary dials. Detachable; driver must exit with it per FIA regs</t>
  </si>
  <si>
    <t>C094</t>
  </si>
  <si>
    <t>Safety Harness (6-point)</t>
  </si>
  <si>
    <t>C052,C092</t>
  </si>
  <si>
    <t>FIA-rated Polyester Webbing</t>
  </si>
  <si>
    <t>6-point HANS-compatible. Replaced each race event</t>
  </si>
  <si>
    <t>C095</t>
  </si>
  <si>
    <t>Fire Suppression System</t>
  </si>
  <si>
    <t>AFFF / Halon Cylinder</t>
  </si>
  <si>
    <t>Cockpit + engine bay nozzles. Driver-activated or auto-trigger</t>
  </si>
  <si>
    <t>C096</t>
  </si>
  <si>
    <t>Drink System &amp; Helmet Cooling</t>
  </si>
  <si>
    <t>Food-grade Tubing / Pump</t>
  </si>
  <si>
    <t>Delivers electrolyte drink + cooling air inside helmet during race</t>
  </si>
  <si>
    <t>C097</t>
  </si>
  <si>
    <t>PU Installation into Chassis</t>
  </si>
  <si>
    <t>Final Assembly</t>
  </si>
  <si>
    <t>C015,C029,C034,C038,C052,C055</t>
  </si>
  <si>
    <t>Honda RA621H power unit (ICE+MGU-H+MGU-K+ES+inverter) installed as structural member</t>
  </si>
  <si>
    <t>C098</t>
  </si>
  <si>
    <t>Gearbox Mating to PU</t>
  </si>
  <si>
    <t>C097,C077,C078,C079,C081</t>
  </si>
  <si>
    <t>Gearbox bolted to PU rear face. Rear suspension carrier now active</t>
  </si>
  <si>
    <t>C099</t>
  </si>
  <si>
    <t>Suspension Assembly – Full Car</t>
  </si>
  <si>
    <t>C098,C056,C057,C058,C059,C060,C061,C062,C063,C064,C065,C066,C067</t>
  </si>
  <si>
    <t>Front and rear suspension installed. Geometry set to base setup</t>
  </si>
  <si>
    <t>C100</t>
  </si>
  <si>
    <t>Aero &amp; Bodywork Installation</t>
  </si>
  <si>
    <t>C099,C068,C069,C070,C071,C072,C073,C074,C075,C076</t>
  </si>
  <si>
    <t>All carbon bodywork, wings, floor fitted. Circuit-specific aero configuration</t>
  </si>
  <si>
    <t>C101</t>
  </si>
  <si>
    <t>Brakes, Wheels &amp; Tyre Fitting</t>
  </si>
  <si>
    <t>C099,C082,C083,C084,C085,C086,C087,C088,C089,C090</t>
  </si>
  <si>
    <t>Braking system installed. Brake-by-wire calibrated. Tyres fitted and pressured</t>
  </si>
  <si>
    <t>C102</t>
  </si>
  <si>
    <t>Cockpit, Safety &amp; Electronics Commissioning</t>
  </si>
  <si>
    <t>C099,C091,C092,C093,C094,C095,C096,C050,C051</t>
  </si>
  <si>
    <t>Driver seat, halo, steering, safety systems installed. ECU flashed with race software</t>
  </si>
  <si>
    <t>C103</t>
  </si>
  <si>
    <t>Full Car Systems Check &amp; Sign-Off</t>
  </si>
  <si>
    <t>C097,C098,C099,C100,C101,C102</t>
  </si>
  <si>
    <t>Full car fired up, all PU systems verified, weight/CoG measured. FIA scrutineering ready</t>
  </si>
  <si>
    <t>DAG Edge List – Honda RA621H Assembly Dependencies</t>
  </si>
  <si>
    <t>Each row = one directed edge: FROM (prerequisite) → TO (dependent). Use this for DAG &amp; Topological Sort implementation.</t>
  </si>
  <si>
    <t>Edge ID</t>
  </si>
  <si>
    <t>FROM (Prerequisite ID)</t>
  </si>
  <si>
    <t>FROM Name</t>
  </si>
  <si>
    <t>TO (Dependent ID)</t>
  </si>
  <si>
    <t>TO Name</t>
  </si>
  <si>
    <t>Edge Weight (hrs)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</si>
  <si>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</si>
  <si>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</si>
  <si>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</si>
  <si>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</si>
  <si>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</si>
  <si>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</si>
  <si>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</si>
  <si>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</si>
  <si>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</si>
  <si>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</si>
  <si>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</si>
  <si>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</si>
  <si>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</si>
  <si>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</si>
  <si>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</si>
  <si>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</si>
  <si>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</si>
  <si>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</si>
  <si>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</si>
  <si>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</si>
  <si>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</si>
  <si>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</si>
  <si>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</si>
  <si>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</si>
  <si>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</si>
  <si>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</si>
  <si>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</si>
  <si>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</si>
  <si>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</si>
  <si>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</si>
  <si>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</si>
  <si>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</si>
  <si>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</si>
  <si>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</si>
  <si>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</si>
  <si>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</si>
  <si>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</si>
  <si>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</si>
  <si>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</si>
  <si>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</si>
  <si>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</si>
  <si>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</si>
  <si>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</si>
  <si>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</si>
  <si>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</si>
  <si>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</si>
  <si>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</si>
  <si>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</si>
  <si>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</si>
  <si>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</si>
  <si>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</si>
  <si>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</si>
  <si>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</si>
  <si>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</si>
  <si>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</si>
  <si>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</si>
  <si>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</si>
  <si>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</si>
  <si>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</si>
  <si>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</si>
  <si>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</si>
  <si>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</si>
  <si>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</si>
  <si>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</si>
  <si>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</si>
  <si>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</si>
  <si>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</si>
  <si>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</si>
  <si>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</si>
  <si>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</si>
  <si>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</si>
  <si>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</si>
  <si>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</si>
  <si>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</si>
  <si>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</si>
  <si>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</si>
  <si>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</si>
  <si>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</si>
  <si>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</si>
  <si>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</si>
  <si>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</si>
  <si>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</si>
  <si>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</si>
  <si>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</si>
  <si>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</si>
  <si>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</si>
  <si>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</si>
  <si>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</si>
  <si>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</si>
  <si>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</si>
  <si>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</si>
  <si>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</si>
  <si>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</si>
  <si>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</si>
  <si>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</si>
  <si>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</si>
  <si>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</si>
  <si>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</si>
  <si>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</si>
  <si>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</si>
  <si>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</si>
  <si>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</si>
  <si>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</si>
  <si>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</si>
  <si>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</si>
  <si>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</si>
  <si>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</si>
  <si>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</si>
  <si>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</si>
  <si>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</si>
  <si>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</si>
  <si>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</si>
  <si>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</si>
  <si>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</si>
  <si>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</si>
  <si>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</si>
  <si>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</si>
  <si>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</si>
  <si>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</si>
  <si>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</si>
  <si>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</si>
  <si>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</si>
  <si>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</si>
  <si>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</si>
  <si>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</si>
  <si>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</si>
  <si>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</si>
  <si>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</si>
  <si>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</si>
  <si>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</si>
  <si>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</si>
  <si>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</si>
  <si>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</si>
  <si>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</si>
  <si>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</si>
  <si>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</si>
  <si>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</si>
  <si>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</si>
  <si>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</si>
  <si>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</si>
  <si>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</si>
  <si>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</si>
  <si>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</si>
  <si>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</si>
  <si>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</si>
  <si>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</si>
  <si>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</si>
  <si>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</si>
  <si>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</si>
  <si>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</si>
  <si>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</si>
  <si>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</si>
  <si>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</si>
  <si>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</si>
  <si>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</si>
  <si>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</si>
  <si>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</si>
  <si>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</si>
  <si>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</si>
  <si>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</si>
  <si>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</si>
  <si>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</si>
  <si>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</si>
  <si>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</si>
  <si>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</si>
  <si>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</si>
  <si>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</si>
  <si>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</si>
  <si>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</si>
  <si>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</si>
  <si>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</si>
  <si>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</si>
  <si>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</si>
  <si>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</si>
  <si>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</si>
  <si>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</si>
  <si>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</si>
  <si>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</si>
  <si>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</si>
  <si>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</si>
  <si>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</si>
  <si>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</si>
  <si>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</si>
  <si>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</si>
  <si>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</si>
  <si>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</si>
  <si>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</si>
  <si>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</si>
  <si>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</si>
  <si>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</si>
  <si>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</si>
  <si>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</si>
  <si>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</si>
  <si>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</si>
  <si>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</si>
  <si>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</si>
  <si>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</si>
  <si>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</si>
  <si>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</si>
  <si>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</si>
  <si>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</si>
  <si>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</si>
  <si>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</si>
  <si>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</si>
  <si>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</si>
  <si>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</si>
  <si>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</si>
  <si>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</si>
  <si>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</si>
  <si>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</si>
  <si>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</si>
  <si>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</si>
  <si>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</si>
  <si>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</si>
  <si>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</si>
  <si>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</si>
  <si>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Dataset Summary – Honda RA621H F1 Assembly</t>
  </si>
  <si>
    <t>Metric</t>
  </si>
  <si>
    <t>Value</t>
  </si>
  <si>
    <t>Total Components (Nodes)</t>
  </si>
  <si>
    <t>Total Assembly Edges</t>
  </si>
  <si>
    <t>Critical Path Components</t>
  </si>
  <si>
    <t>Non-Critical Components</t>
  </si>
  <si>
    <t>Total Assembly Duration (hrs)</t>
  </si>
  <si>
    <t>Estimated Total Duration (hrs)</t>
  </si>
  <si>
    <t>Total Subsystems</t>
  </si>
  <si>
    <t>19</t>
  </si>
  <si>
    <t>Unique Materials</t>
  </si>
  <si>
    <t>20+</t>
  </si>
  <si>
    <t>Root Nodes (no deps)</t>
  </si>
  <si>
    <t>16</t>
  </si>
  <si>
    <t>Leaf Node (Final Sign-Off)</t>
  </si>
  <si>
    <t>Subsystem Breakdown</t>
  </si>
  <si>
    <t># Components</t>
  </si>
  <si>
    <t>Total Duration (hrs)</t>
  </si>
  <si>
    <t>Color Code</t>
  </si>
  <si>
    <t>#CC0000</t>
  </si>
  <si>
    <t>#E65100</t>
  </si>
  <si>
    <t>#6A1B9A</t>
  </si>
  <si>
    <t>#1565C0</t>
  </si>
  <si>
    <t>#2E7D32</t>
  </si>
  <si>
    <t>#5D4037</t>
  </si>
  <si>
    <t>#00695C</t>
  </si>
  <si>
    <t>#F57F17</t>
  </si>
  <si>
    <t>#37474F</t>
  </si>
  <si>
    <t>#424242</t>
  </si>
  <si>
    <t>#880E4F</t>
  </si>
  <si>
    <t>#AD1457</t>
  </si>
  <si>
    <t>#0277BD</t>
  </si>
  <si>
    <t>#01579B</t>
  </si>
  <si>
    <t>#4A148C</t>
  </si>
  <si>
    <t>#B71C1C</t>
  </si>
  <si>
    <t>#33691E</t>
  </si>
  <si>
    <t>#006064</t>
  </si>
  <si>
    <t>#212121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</si>
</sst>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hrs&quot;"/>
  </numFmts>
  <fonts count="15">
    <font>
      <sz val="11.0"/>
      <color rgb="FF000000"/>
      <name val="Arial"/>
      <scheme val="minor"/>
    </font>
    <font>
      <b/>
      <sz val="14.0"/>
      <color rgb="FFFFFFFF"/>
      <name val="Arial"/>
    </font>
    <font/>
    <font>
      <i/>
      <sz val="10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name val="Arial"/>
    </font>
    <font>
      <sz val="9.0"/>
      <color rgb="FFFFFFFF"/>
      <name val="Arial"/>
    </font>
    <font>
      <i/>
      <sz val="9.0"/>
      <name val="Arial"/>
    </font>
    <font>
      <sz val="10.0"/>
      <color rgb="FF555555"/>
      <name val="Arial"/>
    </font>
    <font>
      <b/>
      <sz val="13.0"/>
      <color rgb="FFFFFFFF"/>
      <name val="Arial"/>
    </font>
    <font>
      <sz val="11.0"/>
      <name val="Arial"/>
    </font>
    <font>
      <b/>
      <sz val="11.0"/>
      <name val="Arial"/>
    </font>
    <font>
      <sz val="10.0"/>
      <color rgb="FF000000"/>
      <name val="Arial"/>
    </font>
    <font>
      <sz val="10.0"/>
      <color rgb="FFFFFFFF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1C1C1C"/>
        <bgColor rgb="FF1C1C1C"/>
      </patternFill>
    </fill>
    <fill>
      <patternFill patternType="solid">
        <fgColor rgb="FF3A3A3A"/>
        <bgColor rgb="FF3A3A3A"/>
      </patternFill>
    </fill>
    <fill>
      <patternFill patternType="solid">
        <fgColor rgb="FFFAFAFA"/>
        <bgColor rgb="FFFAFAFA"/>
      </patternFill>
    </fill>
    <fill>
      <patternFill patternType="solid">
        <fgColor rgb="FFB71C1C"/>
        <bgColor rgb="FFB71C1C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E65100"/>
        <bgColor rgb="FFE65100"/>
      </patternFill>
    </fill>
    <fill>
      <patternFill patternType="solid">
        <fgColor rgb="FF6A1B9A"/>
        <bgColor rgb="FF6A1B9A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5D4037"/>
        <bgColor rgb="FF5D4037"/>
      </patternFill>
    </fill>
    <fill>
      <patternFill patternType="solid">
        <fgColor rgb="FF00695C"/>
        <bgColor rgb="FF00695C"/>
      </patternFill>
    </fill>
    <fill>
      <patternFill patternType="solid">
        <fgColor rgb="FFF57F17"/>
        <bgColor rgb="FFF57F17"/>
      </patternFill>
    </fill>
    <fill>
      <patternFill patternType="solid">
        <fgColor rgb="FF37474F"/>
        <bgColor rgb="FF37474F"/>
      </patternFill>
    </fill>
    <fill>
      <patternFill patternType="solid">
        <fgColor rgb="FF424242"/>
        <bgColor rgb="FF424242"/>
      </patternFill>
    </fill>
    <fill>
      <patternFill patternType="solid">
        <fgColor rgb="FF880E4F"/>
        <bgColor rgb="FF880E4F"/>
      </patternFill>
    </fill>
    <fill>
      <patternFill patternType="solid">
        <fgColor rgb="FFAD1457"/>
        <bgColor rgb="FFAD1457"/>
      </patternFill>
    </fill>
    <fill>
      <patternFill patternType="solid">
        <fgColor rgb="FF0277BD"/>
        <bgColor rgb="FF0277BD"/>
      </patternFill>
    </fill>
    <fill>
      <patternFill patternType="solid">
        <fgColor rgb="FF01579B"/>
        <bgColor rgb="FF01579B"/>
      </patternFill>
    </fill>
    <fill>
      <patternFill patternType="solid">
        <fgColor rgb="FF4A148C"/>
        <bgColor rgb="FF4A148C"/>
      </patternFill>
    </fill>
    <fill>
      <patternFill patternType="solid">
        <fgColor rgb="FF33691E"/>
        <bgColor rgb="FF33691E"/>
      </patternFill>
    </fill>
    <fill>
      <patternFill patternType="solid">
        <fgColor rgb="FF006064"/>
        <bgColor rgb="FF006064"/>
      </patternFill>
    </fill>
    <fill>
      <patternFill patternType="solid">
        <fgColor rgb="FF212121"/>
        <bgColor rgb="FF212121"/>
      </patternFill>
    </fill>
    <fill>
      <patternFill patternType="solid">
        <fgColor rgb="FFFFF8E1"/>
        <bgColor rgb="FFFFF8E1"/>
      </patternFill>
    </fill>
  </fills>
  <borders count="4">
    <border/>
    <border>
      <lef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5" fontId="6" numFmtId="0" xfId="0" applyAlignment="1" applyBorder="1" applyFill="1" applyFont="1">
      <alignment horizontal="left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3" fillId="5" fontId="6" numFmtId="164" xfId="0" applyAlignment="1" applyBorder="1" applyFont="1" applyNumberForma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left" shrinkToFit="0" vertical="center" wrapText="1"/>
    </xf>
    <xf borderId="3" fillId="7" fontId="6" numFmtId="0" xfId="0" applyAlignment="1" applyBorder="1" applyFill="1" applyFont="1">
      <alignment horizontal="left" shrinkToFit="0" vertical="center" wrapText="1"/>
    </xf>
    <xf borderId="3" fillId="7" fontId="6" numFmtId="164" xfId="0" applyAlignment="1" applyBorder="1" applyFont="1" applyNumberFormat="1">
      <alignment horizontal="center" shrinkToFit="0" vertical="center" wrapText="1"/>
    </xf>
    <xf borderId="3" fillId="7" fontId="6" numFmtId="0" xfId="0" applyAlignment="1" applyBorder="1" applyFont="1">
      <alignment horizontal="center" shrinkToFit="0" vertical="center" wrapText="1"/>
    </xf>
    <xf borderId="3" fillId="7" fontId="8" numFmtId="0" xfId="0" applyAlignment="1" applyBorder="1" applyFont="1">
      <alignment horizontal="left" shrinkToFit="0" vertical="center" wrapText="1"/>
    </xf>
    <xf borderId="3" fillId="8" fontId="9" numFmtId="0" xfId="0" applyAlignment="1" applyBorder="1" applyFill="1" applyFont="1">
      <alignment horizontal="center" shrinkToFit="0" vertical="center" wrapText="1"/>
    </xf>
    <xf borderId="3" fillId="9" fontId="5" numFmtId="0" xfId="0" applyAlignment="1" applyBorder="1" applyFill="1" applyFont="1">
      <alignment horizontal="center" shrinkToFit="0" vertical="center" wrapText="1"/>
    </xf>
    <xf borderId="3" fillId="9" fontId="7" numFmtId="0" xfId="0" applyAlignment="1" applyBorder="1" applyFont="1">
      <alignment horizontal="center" shrinkToFit="0" vertical="center" wrapText="1"/>
    </xf>
    <xf borderId="3" fillId="10" fontId="5" numFmtId="0" xfId="0" applyAlignment="1" applyBorder="1" applyFill="1" applyFont="1">
      <alignment horizontal="center" shrinkToFit="0" vertical="center" wrapText="1"/>
    </xf>
    <xf borderId="3" fillId="10" fontId="7" numFmtId="0" xfId="0" applyAlignment="1" applyBorder="1" applyFont="1">
      <alignment horizontal="center" shrinkToFit="0" vertical="center" wrapText="1"/>
    </xf>
    <xf borderId="3" fillId="11" fontId="5" numFmtId="0" xfId="0" applyAlignment="1" applyBorder="1" applyFill="1" applyFont="1">
      <alignment horizontal="center" shrinkToFit="0" vertical="center" wrapText="1"/>
    </xf>
    <xf borderId="3" fillId="11" fontId="7" numFmtId="0" xfId="0" applyAlignment="1" applyBorder="1" applyFont="1">
      <alignment horizontal="center" shrinkToFit="0" vertical="center" wrapText="1"/>
    </xf>
    <xf borderId="3" fillId="12" fontId="5" numFmtId="0" xfId="0" applyAlignment="1" applyBorder="1" applyFill="1" applyFont="1">
      <alignment horizontal="center" shrinkToFit="0" vertical="center" wrapText="1"/>
    </xf>
    <xf borderId="3" fillId="12" fontId="7" numFmtId="0" xfId="0" applyAlignment="1" applyBorder="1" applyFont="1">
      <alignment horizontal="center" shrinkToFit="0" vertical="center" wrapText="1"/>
    </xf>
    <xf borderId="3" fillId="13" fontId="5" numFmtId="0" xfId="0" applyAlignment="1" applyBorder="1" applyFill="1" applyFont="1">
      <alignment horizontal="center" shrinkToFit="0" vertical="center" wrapText="1"/>
    </xf>
    <xf borderId="3" fillId="13" fontId="7" numFmtId="0" xfId="0" applyAlignment="1" applyBorder="1" applyFont="1">
      <alignment horizontal="center" shrinkToFit="0" vertical="center" wrapText="1"/>
    </xf>
    <xf borderId="3" fillId="14" fontId="5" numFmtId="0" xfId="0" applyAlignment="1" applyBorder="1" applyFill="1" applyFont="1">
      <alignment horizontal="center" shrinkToFit="0" vertical="center" wrapText="1"/>
    </xf>
    <xf borderId="3" fillId="14" fontId="7" numFmtId="0" xfId="0" applyAlignment="1" applyBorder="1" applyFont="1">
      <alignment horizontal="center" shrinkToFit="0" vertical="center" wrapText="1"/>
    </xf>
    <xf borderId="3" fillId="15" fontId="5" numFmtId="0" xfId="0" applyAlignment="1" applyBorder="1" applyFill="1" applyFont="1">
      <alignment horizontal="center" shrinkToFit="0" vertical="center" wrapText="1"/>
    </xf>
    <xf borderId="3" fillId="15" fontId="7" numFmtId="0" xfId="0" applyAlignment="1" applyBorder="1" applyFont="1">
      <alignment horizontal="center" shrinkToFit="0" vertical="center" wrapText="1"/>
    </xf>
    <xf borderId="3" fillId="16" fontId="5" numFmtId="0" xfId="0" applyAlignment="1" applyBorder="1" applyFill="1" applyFont="1">
      <alignment horizontal="center" shrinkToFit="0" vertical="center" wrapText="1"/>
    </xf>
    <xf borderId="3" fillId="16" fontId="7" numFmtId="0" xfId="0" applyAlignment="1" applyBorder="1" applyFont="1">
      <alignment horizontal="center" shrinkToFit="0" vertical="center" wrapText="1"/>
    </xf>
    <xf borderId="3" fillId="17" fontId="5" numFmtId="0" xfId="0" applyAlignment="1" applyBorder="1" applyFill="1" applyFont="1">
      <alignment horizontal="center" shrinkToFit="0" vertical="center" wrapText="1"/>
    </xf>
    <xf borderId="3" fillId="17" fontId="7" numFmtId="0" xfId="0" applyAlignment="1" applyBorder="1" applyFont="1">
      <alignment horizontal="center" shrinkToFit="0" vertical="center" wrapText="1"/>
    </xf>
    <xf borderId="3" fillId="18" fontId="5" numFmtId="0" xfId="0" applyAlignment="1" applyBorder="1" applyFill="1" applyFont="1">
      <alignment horizontal="center" shrinkToFit="0" vertical="center" wrapText="1"/>
    </xf>
    <xf borderId="3" fillId="18" fontId="7" numFmtId="0" xfId="0" applyAlignment="1" applyBorder="1" applyFont="1">
      <alignment horizontal="center" shrinkToFit="0" vertical="center" wrapText="1"/>
    </xf>
    <xf borderId="3" fillId="19" fontId="5" numFmtId="0" xfId="0" applyAlignment="1" applyBorder="1" applyFill="1" applyFont="1">
      <alignment horizontal="center" shrinkToFit="0" vertical="center" wrapText="1"/>
    </xf>
    <xf borderId="3" fillId="19" fontId="7" numFmtId="0" xfId="0" applyAlignment="1" applyBorder="1" applyFont="1">
      <alignment horizontal="center" shrinkToFit="0" vertical="center" wrapText="1"/>
    </xf>
    <xf borderId="3" fillId="20" fontId="5" numFmtId="0" xfId="0" applyAlignment="1" applyBorder="1" applyFill="1" applyFont="1">
      <alignment horizontal="center" shrinkToFit="0" vertical="center" wrapText="1"/>
    </xf>
    <xf borderId="3" fillId="20" fontId="7" numFmtId="0" xfId="0" applyAlignment="1" applyBorder="1" applyFont="1">
      <alignment horizontal="center" shrinkToFit="0" vertical="center" wrapText="1"/>
    </xf>
    <xf borderId="3" fillId="21" fontId="5" numFmtId="0" xfId="0" applyAlignment="1" applyBorder="1" applyFill="1" applyFont="1">
      <alignment horizontal="center" shrinkToFit="0" vertical="center" wrapText="1"/>
    </xf>
    <xf borderId="3" fillId="21" fontId="7" numFmtId="0" xfId="0" applyAlignment="1" applyBorder="1" applyFont="1">
      <alignment horizontal="center" shrinkToFit="0" vertical="center" wrapText="1"/>
    </xf>
    <xf borderId="3" fillId="22" fontId="5" numFmtId="0" xfId="0" applyAlignment="1" applyBorder="1" applyFill="1" applyFont="1">
      <alignment horizontal="center" shrinkToFit="0" vertical="center" wrapText="1"/>
    </xf>
    <xf borderId="3" fillId="22" fontId="7" numFmtId="0" xfId="0" applyAlignment="1" applyBorder="1" applyFont="1">
      <alignment horizontal="center" shrinkToFit="0" vertical="center" wrapText="1"/>
    </xf>
    <xf borderId="3" fillId="6" fontId="7" numFmtId="0" xfId="0" applyAlignment="1" applyBorder="1" applyFont="1">
      <alignment horizontal="center" shrinkToFit="0" vertical="center" wrapText="1"/>
    </xf>
    <xf borderId="3" fillId="23" fontId="5" numFmtId="0" xfId="0" applyAlignment="1" applyBorder="1" applyFill="1" applyFont="1">
      <alignment horizontal="center" shrinkToFit="0" vertical="center" wrapText="1"/>
    </xf>
    <xf borderId="3" fillId="23" fontId="7" numFmtId="0" xfId="0" applyAlignment="1" applyBorder="1" applyFont="1">
      <alignment horizontal="center" shrinkToFit="0" vertical="center" wrapText="1"/>
    </xf>
    <xf borderId="3" fillId="24" fontId="5" numFmtId="0" xfId="0" applyAlignment="1" applyBorder="1" applyFill="1" applyFont="1">
      <alignment horizontal="center" shrinkToFit="0" vertical="center" wrapText="1"/>
    </xf>
    <xf borderId="3" fillId="24" fontId="7" numFmtId="0" xfId="0" applyAlignment="1" applyBorder="1" applyFont="1">
      <alignment horizontal="center" shrinkToFit="0" vertical="center" wrapText="1"/>
    </xf>
    <xf borderId="3" fillId="25" fontId="5" numFmtId="0" xfId="0" applyAlignment="1" applyBorder="1" applyFill="1" applyFont="1">
      <alignment horizontal="center" shrinkToFit="0" vertical="center" wrapText="1"/>
    </xf>
    <xf borderId="3" fillId="25" fontId="7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3" fillId="7" fontId="11" numFmtId="0" xfId="0" applyAlignment="1" applyBorder="1" applyFont="1">
      <alignment horizontal="center" shrinkToFit="0" vertical="center" wrapText="1"/>
    </xf>
    <xf borderId="3" fillId="7" fontId="12" numFmtId="0" xfId="0" applyAlignment="1" applyBorder="1" applyFont="1">
      <alignment horizontal="center" shrinkToFit="0" vertical="center" wrapText="1"/>
    </xf>
    <xf borderId="3" fillId="26" fontId="11" numFmtId="0" xfId="0" applyAlignment="1" applyBorder="1" applyFill="1" applyFont="1">
      <alignment horizontal="center" shrinkToFit="0" vertical="center" wrapText="1"/>
    </xf>
    <xf borderId="3" fillId="26" fontId="12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7" fontId="13" numFmtId="0" xfId="0" applyAlignment="1" applyBorder="1" applyFont="1">
      <alignment horizontal="left" shrinkToFit="0" vertical="center" wrapText="1"/>
    </xf>
    <xf borderId="3" fillId="7" fontId="13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3" fillId="5" fontId="13" numFmtId="0" xfId="0" applyAlignment="1" applyBorder="1" applyFont="1">
      <alignment horizontal="left" shrinkToFit="0" vertical="center" wrapText="1"/>
    </xf>
    <xf borderId="3" fillId="5" fontId="13" numFmtId="0" xfId="0" applyAlignment="1" applyBorder="1" applyFont="1">
      <alignment horizontal="center" shrinkToFit="0" vertical="center" wrapText="1"/>
    </xf>
    <xf borderId="3" fillId="9" fontId="14" numFmtId="0" xfId="0" applyAlignment="1" applyBorder="1" applyFont="1">
      <alignment horizontal="center" shrinkToFit="0" vertical="center" wrapText="1"/>
    </xf>
    <xf borderId="3" fillId="10" fontId="14" numFmtId="0" xfId="0" applyAlignment="1" applyBorder="1" applyFont="1">
      <alignment horizontal="center" shrinkToFit="0" vertical="center" wrapText="1"/>
    </xf>
    <xf borderId="3" fillId="11" fontId="14" numFmtId="0" xfId="0" applyAlignment="1" applyBorder="1" applyFont="1">
      <alignment horizontal="center" shrinkToFit="0" vertical="center" wrapText="1"/>
    </xf>
    <xf borderId="3" fillId="12" fontId="14" numFmtId="0" xfId="0" applyAlignment="1" applyBorder="1" applyFont="1">
      <alignment horizontal="center" shrinkToFit="0" vertical="center" wrapText="1"/>
    </xf>
    <xf borderId="3" fillId="13" fontId="14" numFmtId="0" xfId="0" applyAlignment="1" applyBorder="1" applyFont="1">
      <alignment horizontal="center" shrinkToFit="0" vertical="center" wrapText="1"/>
    </xf>
    <xf borderId="3" fillId="14" fontId="14" numFmtId="0" xfId="0" applyAlignment="1" applyBorder="1" applyFont="1">
      <alignment horizontal="center" shrinkToFit="0" vertical="center" wrapText="1"/>
    </xf>
    <xf borderId="3" fillId="15" fontId="14" numFmtId="0" xfId="0" applyAlignment="1" applyBorder="1" applyFont="1">
      <alignment horizontal="center" shrinkToFit="0" vertical="center" wrapText="1"/>
    </xf>
    <xf borderId="3" fillId="16" fontId="14" numFmtId="0" xfId="0" applyAlignment="1" applyBorder="1" applyFont="1">
      <alignment horizontal="center" shrinkToFit="0" vertical="center" wrapText="1"/>
    </xf>
    <xf borderId="3" fillId="17" fontId="14" numFmtId="0" xfId="0" applyAlignment="1" applyBorder="1" applyFont="1">
      <alignment horizontal="center" shrinkToFit="0" vertical="center" wrapText="1"/>
    </xf>
    <xf borderId="3" fillId="18" fontId="14" numFmtId="0" xfId="0" applyAlignment="1" applyBorder="1" applyFont="1">
      <alignment horizontal="center" shrinkToFit="0" vertical="center" wrapText="1"/>
    </xf>
    <xf borderId="3" fillId="19" fontId="14" numFmtId="0" xfId="0" applyAlignment="1" applyBorder="1" applyFont="1">
      <alignment horizontal="center" shrinkToFit="0" vertical="center" wrapText="1"/>
    </xf>
    <xf borderId="3" fillId="20" fontId="14" numFmtId="0" xfId="0" applyAlignment="1" applyBorder="1" applyFont="1">
      <alignment horizontal="center" shrinkToFit="0" vertical="center" wrapText="1"/>
    </xf>
    <xf borderId="3" fillId="21" fontId="14" numFmtId="0" xfId="0" applyAlignment="1" applyBorder="1" applyFont="1">
      <alignment horizontal="center" shrinkToFit="0" vertical="center" wrapText="1"/>
    </xf>
    <xf borderId="3" fillId="22" fontId="14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3" fillId="23" fontId="14" numFmtId="0" xfId="0" applyAlignment="1" applyBorder="1" applyFont="1">
      <alignment horizontal="center" shrinkToFit="0" vertical="center" wrapText="1"/>
    </xf>
    <xf borderId="3" fillId="24" fontId="14" numFmtId="0" xfId="0" applyAlignment="1" applyBorder="1" applyFont="1">
      <alignment horizontal="center" shrinkToFit="0" vertical="center" wrapText="1"/>
    </xf>
    <xf borderId="3" fillId="25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8.0"/>
    <col customWidth="1" min="3" max="3" width="28.0"/>
    <col customWidth="1" min="4" max="4" width="32.0"/>
    <col customWidth="1" min="5" max="6" width="16.0"/>
    <col customWidth="1" min="7" max="7" width="12.0"/>
    <col customWidth="1" min="8" max="8" width="22.0"/>
    <col customWidth="1" min="9" max="9" width="45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9.5" customHeight="1">
      <c r="A2" s="3" t="s">
        <v>1</v>
      </c>
      <c r="B2" s="2"/>
      <c r="C2" s="2"/>
      <c r="D2" s="2"/>
      <c r="E2" s="2"/>
      <c r="F2" s="2"/>
      <c r="G2" s="2"/>
      <c r="H2" s="2"/>
      <c r="I2" s="2"/>
    </row>
    <row r="3" ht="31.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ht="21.75" customHeight="1">
      <c r="A4" s="5" t="s">
        <v>11</v>
      </c>
      <c r="B4" s="6" t="s">
        <v>12</v>
      </c>
      <c r="C4" s="7" t="s">
        <v>13</v>
      </c>
      <c r="D4" s="6"/>
      <c r="E4" s="8">
        <v>48.0</v>
      </c>
      <c r="F4" s="9" t="s">
        <v>14</v>
      </c>
      <c r="G4" s="10">
        <v>12.0</v>
      </c>
      <c r="H4" s="6" t="s">
        <v>15</v>
      </c>
      <c r="I4" s="11" t="s">
        <v>16</v>
      </c>
    </row>
    <row r="5" ht="21.75" customHeight="1">
      <c r="A5" s="5" t="s">
        <v>17</v>
      </c>
      <c r="B5" s="12" t="s">
        <v>18</v>
      </c>
      <c r="C5" s="7" t="s">
        <v>13</v>
      </c>
      <c r="D5" s="12" t="s">
        <v>11</v>
      </c>
      <c r="E5" s="13">
        <v>24.0</v>
      </c>
      <c r="F5" s="9" t="s">
        <v>14</v>
      </c>
      <c r="G5" s="14">
        <v>3.8</v>
      </c>
      <c r="H5" s="12" t="s">
        <v>19</v>
      </c>
      <c r="I5" s="15" t="s">
        <v>20</v>
      </c>
    </row>
    <row r="6" ht="21.75" customHeight="1">
      <c r="A6" s="5" t="s">
        <v>21</v>
      </c>
      <c r="B6" s="6" t="s">
        <v>22</v>
      </c>
      <c r="C6" s="7" t="s">
        <v>13</v>
      </c>
      <c r="D6" s="6" t="s">
        <v>23</v>
      </c>
      <c r="E6" s="8">
        <v>12.0</v>
      </c>
      <c r="F6" s="9" t="s">
        <v>14</v>
      </c>
      <c r="G6" s="10">
        <v>0.9</v>
      </c>
      <c r="H6" s="6" t="s">
        <v>24</v>
      </c>
      <c r="I6" s="11" t="s">
        <v>25</v>
      </c>
    </row>
    <row r="7" ht="21.75" customHeight="1">
      <c r="A7" s="5" t="s">
        <v>26</v>
      </c>
      <c r="B7" s="12" t="s">
        <v>27</v>
      </c>
      <c r="C7" s="7" t="s">
        <v>13</v>
      </c>
      <c r="D7" s="12" t="s">
        <v>28</v>
      </c>
      <c r="E7" s="13">
        <v>16.0</v>
      </c>
      <c r="F7" s="9" t="s">
        <v>14</v>
      </c>
      <c r="G7" s="14">
        <v>0.6</v>
      </c>
      <c r="H7" s="12" t="s">
        <v>29</v>
      </c>
      <c r="I7" s="15" t="s">
        <v>30</v>
      </c>
    </row>
    <row r="8" ht="21.75" customHeight="1">
      <c r="A8" s="5" t="s">
        <v>31</v>
      </c>
      <c r="B8" s="6" t="s">
        <v>32</v>
      </c>
      <c r="C8" s="7" t="s">
        <v>13</v>
      </c>
      <c r="D8" s="6" t="s">
        <v>26</v>
      </c>
      <c r="E8" s="8">
        <v>4.0</v>
      </c>
      <c r="F8" s="16" t="s">
        <v>33</v>
      </c>
      <c r="G8" s="10">
        <v>0.1</v>
      </c>
      <c r="H8" s="6" t="s">
        <v>34</v>
      </c>
      <c r="I8" s="11" t="s">
        <v>35</v>
      </c>
    </row>
    <row r="9" ht="21.75" customHeight="1">
      <c r="A9" s="5" t="s">
        <v>36</v>
      </c>
      <c r="B9" s="12" t="s">
        <v>37</v>
      </c>
      <c r="C9" s="7" t="s">
        <v>13</v>
      </c>
      <c r="D9" s="12" t="s">
        <v>38</v>
      </c>
      <c r="E9" s="13">
        <v>36.0</v>
      </c>
      <c r="F9" s="9" t="s">
        <v>14</v>
      </c>
      <c r="G9" s="14">
        <v>4.5</v>
      </c>
      <c r="H9" s="12" t="s">
        <v>39</v>
      </c>
      <c r="I9" s="15" t="s">
        <v>40</v>
      </c>
    </row>
    <row r="10" ht="21.75" customHeight="1">
      <c r="A10" s="5" t="s">
        <v>41</v>
      </c>
      <c r="B10" s="6" t="s">
        <v>42</v>
      </c>
      <c r="C10" s="7" t="s">
        <v>13</v>
      </c>
      <c r="D10" s="6" t="s">
        <v>36</v>
      </c>
      <c r="E10" s="8">
        <v>8.0</v>
      </c>
      <c r="F10" s="16" t="s">
        <v>33</v>
      </c>
      <c r="G10" s="10">
        <v>0.05</v>
      </c>
      <c r="H10" s="6" t="s">
        <v>24</v>
      </c>
      <c r="I10" s="11" t="s">
        <v>43</v>
      </c>
    </row>
    <row r="11" ht="21.75" customHeight="1">
      <c r="A11" s="5" t="s">
        <v>44</v>
      </c>
      <c r="B11" s="12" t="s">
        <v>45</v>
      </c>
      <c r="C11" s="7" t="s">
        <v>13</v>
      </c>
      <c r="D11" s="12" t="s">
        <v>36</v>
      </c>
      <c r="E11" s="13">
        <v>8.0</v>
      </c>
      <c r="F11" s="16" t="s">
        <v>33</v>
      </c>
      <c r="G11" s="14">
        <v>0.06</v>
      </c>
      <c r="H11" s="12" t="s">
        <v>46</v>
      </c>
      <c r="I11" s="15" t="s">
        <v>47</v>
      </c>
    </row>
    <row r="12" ht="21.75" customHeight="1">
      <c r="A12" s="5" t="s">
        <v>48</v>
      </c>
      <c r="B12" s="6" t="s">
        <v>49</v>
      </c>
      <c r="C12" s="7" t="s">
        <v>13</v>
      </c>
      <c r="D12" s="6" t="s">
        <v>50</v>
      </c>
      <c r="E12" s="8">
        <v>14.0</v>
      </c>
      <c r="F12" s="9" t="s">
        <v>14</v>
      </c>
      <c r="G12" s="10">
        <v>0.8</v>
      </c>
      <c r="H12" s="6" t="s">
        <v>51</v>
      </c>
      <c r="I12" s="11" t="s">
        <v>52</v>
      </c>
    </row>
    <row r="13" ht="21.75" customHeight="1">
      <c r="A13" s="5" t="s">
        <v>53</v>
      </c>
      <c r="B13" s="12" t="s">
        <v>54</v>
      </c>
      <c r="C13" s="7" t="s">
        <v>13</v>
      </c>
      <c r="D13" s="12" t="s">
        <v>48</v>
      </c>
      <c r="E13" s="13">
        <v>6.0</v>
      </c>
      <c r="F13" s="16" t="s">
        <v>33</v>
      </c>
      <c r="G13" s="14">
        <v>0.4</v>
      </c>
      <c r="H13" s="12" t="s">
        <v>55</v>
      </c>
      <c r="I13" s="15" t="s">
        <v>56</v>
      </c>
    </row>
    <row r="14" ht="21.75" customHeight="1">
      <c r="A14" s="5" t="s">
        <v>57</v>
      </c>
      <c r="B14" s="6" t="s">
        <v>58</v>
      </c>
      <c r="C14" s="7" t="s">
        <v>13</v>
      </c>
      <c r="D14" s="6" t="s">
        <v>23</v>
      </c>
      <c r="E14" s="8">
        <v>10.0</v>
      </c>
      <c r="F14" s="16" t="s">
        <v>33</v>
      </c>
      <c r="G14" s="10">
        <v>5.0</v>
      </c>
      <c r="H14" s="6" t="s">
        <v>59</v>
      </c>
      <c r="I14" s="11" t="s">
        <v>60</v>
      </c>
    </row>
    <row r="15" ht="21.75" customHeight="1">
      <c r="A15" s="5" t="s">
        <v>61</v>
      </c>
      <c r="B15" s="12" t="s">
        <v>62</v>
      </c>
      <c r="C15" s="7" t="s">
        <v>13</v>
      </c>
      <c r="D15" s="12" t="s">
        <v>36</v>
      </c>
      <c r="E15" s="13">
        <v>8.0</v>
      </c>
      <c r="F15" s="9" t="s">
        <v>14</v>
      </c>
      <c r="G15" s="14">
        <v>0.3</v>
      </c>
      <c r="H15" s="12" t="s">
        <v>63</v>
      </c>
      <c r="I15" s="15" t="s">
        <v>64</v>
      </c>
    </row>
    <row r="16" ht="21.75" customHeight="1">
      <c r="A16" s="5" t="s">
        <v>65</v>
      </c>
      <c r="B16" s="6" t="s">
        <v>66</v>
      </c>
      <c r="C16" s="7" t="s">
        <v>13</v>
      </c>
      <c r="D16" s="6" t="s">
        <v>67</v>
      </c>
      <c r="E16" s="8">
        <v>4.0</v>
      </c>
      <c r="F16" s="16" t="s">
        <v>33</v>
      </c>
      <c r="G16" s="10">
        <v>0.2</v>
      </c>
      <c r="H16" s="6" t="s">
        <v>68</v>
      </c>
      <c r="I16" s="11" t="s">
        <v>69</v>
      </c>
    </row>
    <row r="17" ht="21.75" customHeight="1">
      <c r="A17" s="5" t="s">
        <v>70</v>
      </c>
      <c r="B17" s="12" t="s">
        <v>71</v>
      </c>
      <c r="C17" s="7" t="s">
        <v>13</v>
      </c>
      <c r="D17" s="12" t="s">
        <v>44</v>
      </c>
      <c r="E17" s="13">
        <v>20.0</v>
      </c>
      <c r="F17" s="9" t="s">
        <v>14</v>
      </c>
      <c r="G17" s="14">
        <v>2.1</v>
      </c>
      <c r="H17" s="12" t="s">
        <v>72</v>
      </c>
      <c r="I17" s="15" t="s">
        <v>73</v>
      </c>
    </row>
    <row r="18" ht="21.75" customHeight="1">
      <c r="A18" s="5" t="s">
        <v>74</v>
      </c>
      <c r="B18" s="6" t="s">
        <v>75</v>
      </c>
      <c r="C18" s="7" t="s">
        <v>13</v>
      </c>
      <c r="D18" s="6" t="s">
        <v>76</v>
      </c>
      <c r="E18" s="8">
        <v>36.0</v>
      </c>
      <c r="F18" s="9" t="s">
        <v>14</v>
      </c>
      <c r="G18" s="10" t="s">
        <v>33</v>
      </c>
      <c r="H18" s="6" t="s">
        <v>33</v>
      </c>
      <c r="I18" s="11" t="s">
        <v>77</v>
      </c>
    </row>
    <row r="19" ht="21.75" customHeight="1">
      <c r="A19" s="17" t="s">
        <v>78</v>
      </c>
      <c r="B19" s="12" t="s">
        <v>79</v>
      </c>
      <c r="C19" s="18" t="s">
        <v>80</v>
      </c>
      <c r="D19" s="12" t="s">
        <v>70</v>
      </c>
      <c r="E19" s="13">
        <v>20.0</v>
      </c>
      <c r="F19" s="9" t="s">
        <v>14</v>
      </c>
      <c r="G19" s="14">
        <v>1.8</v>
      </c>
      <c r="H19" s="12" t="s">
        <v>81</v>
      </c>
      <c r="I19" s="15" t="s">
        <v>82</v>
      </c>
    </row>
    <row r="20" ht="21.75" customHeight="1">
      <c r="A20" s="17" t="s">
        <v>83</v>
      </c>
      <c r="B20" s="6" t="s">
        <v>84</v>
      </c>
      <c r="C20" s="18" t="s">
        <v>80</v>
      </c>
      <c r="D20" s="6" t="s">
        <v>78</v>
      </c>
      <c r="E20" s="8">
        <v>16.0</v>
      </c>
      <c r="F20" s="9" t="s">
        <v>14</v>
      </c>
      <c r="G20" s="10">
        <v>0.4</v>
      </c>
      <c r="H20" s="6" t="s">
        <v>85</v>
      </c>
      <c r="I20" s="11" t="s">
        <v>86</v>
      </c>
    </row>
    <row r="21" ht="21.75" customHeight="1">
      <c r="A21" s="17" t="s">
        <v>87</v>
      </c>
      <c r="B21" s="12" t="s">
        <v>88</v>
      </c>
      <c r="C21" s="18" t="s">
        <v>80</v>
      </c>
      <c r="D21" s="12"/>
      <c r="E21" s="13">
        <v>18.0</v>
      </c>
      <c r="F21" s="9" t="s">
        <v>14</v>
      </c>
      <c r="G21" s="14">
        <v>1.2</v>
      </c>
      <c r="H21" s="12" t="s">
        <v>39</v>
      </c>
      <c r="I21" s="15" t="s">
        <v>89</v>
      </c>
    </row>
    <row r="22" ht="21.75" customHeight="1">
      <c r="A22" s="17" t="s">
        <v>90</v>
      </c>
      <c r="B22" s="6" t="s">
        <v>91</v>
      </c>
      <c r="C22" s="18" t="s">
        <v>80</v>
      </c>
      <c r="D22" s="6" t="s">
        <v>87</v>
      </c>
      <c r="E22" s="8">
        <v>14.0</v>
      </c>
      <c r="F22" s="9" t="s">
        <v>14</v>
      </c>
      <c r="G22" s="10">
        <v>0.3</v>
      </c>
      <c r="H22" s="6" t="s">
        <v>24</v>
      </c>
      <c r="I22" s="11" t="s">
        <v>92</v>
      </c>
    </row>
    <row r="23" ht="21.75" customHeight="1">
      <c r="A23" s="17" t="s">
        <v>93</v>
      </c>
      <c r="B23" s="12" t="s">
        <v>94</v>
      </c>
      <c r="C23" s="18" t="s">
        <v>80</v>
      </c>
      <c r="D23" s="12" t="s">
        <v>95</v>
      </c>
      <c r="E23" s="13">
        <v>10.0</v>
      </c>
      <c r="F23" s="9" t="s">
        <v>14</v>
      </c>
      <c r="G23" s="14">
        <v>0.2</v>
      </c>
      <c r="H23" s="12" t="s">
        <v>96</v>
      </c>
      <c r="I23" s="15" t="s">
        <v>97</v>
      </c>
    </row>
    <row r="24" ht="21.75" customHeight="1">
      <c r="A24" s="17" t="s">
        <v>98</v>
      </c>
      <c r="B24" s="6" t="s">
        <v>99</v>
      </c>
      <c r="C24" s="18" t="s">
        <v>80</v>
      </c>
      <c r="D24" s="6" t="s">
        <v>93</v>
      </c>
      <c r="E24" s="8">
        <v>8.0</v>
      </c>
      <c r="F24" s="16" t="s">
        <v>33</v>
      </c>
      <c r="G24" s="10">
        <v>0.1</v>
      </c>
      <c r="H24" s="6" t="s">
        <v>100</v>
      </c>
      <c r="I24" s="11" t="s">
        <v>101</v>
      </c>
    </row>
    <row r="25" ht="21.75" customHeight="1">
      <c r="A25" s="17" t="s">
        <v>102</v>
      </c>
      <c r="B25" s="12" t="s">
        <v>103</v>
      </c>
      <c r="C25" s="18" t="s">
        <v>80</v>
      </c>
      <c r="D25" s="12" t="s">
        <v>104</v>
      </c>
      <c r="E25" s="13">
        <v>12.0</v>
      </c>
      <c r="F25" s="16" t="s">
        <v>33</v>
      </c>
      <c r="G25" s="14">
        <v>1.5</v>
      </c>
      <c r="H25" s="12" t="s">
        <v>105</v>
      </c>
      <c r="I25" s="15" t="s">
        <v>106</v>
      </c>
    </row>
    <row r="26" ht="21.75" customHeight="1">
      <c r="A26" s="17" t="s">
        <v>107</v>
      </c>
      <c r="B26" s="6" t="s">
        <v>108</v>
      </c>
      <c r="C26" s="18" t="s">
        <v>80</v>
      </c>
      <c r="D26" s="6" t="s">
        <v>78</v>
      </c>
      <c r="E26" s="8">
        <v>4.0</v>
      </c>
      <c r="F26" s="16" t="s">
        <v>33</v>
      </c>
      <c r="G26" s="10">
        <v>0.2</v>
      </c>
      <c r="H26" s="6" t="s">
        <v>109</v>
      </c>
      <c r="I26" s="11" t="s">
        <v>110</v>
      </c>
    </row>
    <row r="27" ht="21.75" customHeight="1">
      <c r="A27" s="17" t="s">
        <v>111</v>
      </c>
      <c r="B27" s="12" t="s">
        <v>112</v>
      </c>
      <c r="C27" s="18" t="s">
        <v>80</v>
      </c>
      <c r="D27" s="12" t="s">
        <v>113</v>
      </c>
      <c r="E27" s="13">
        <v>12.0</v>
      </c>
      <c r="F27" s="9" t="s">
        <v>14</v>
      </c>
      <c r="G27" s="14" t="s">
        <v>33</v>
      </c>
      <c r="H27" s="12" t="s">
        <v>33</v>
      </c>
      <c r="I27" s="15" t="s">
        <v>114</v>
      </c>
    </row>
    <row r="28" ht="21.75" customHeight="1">
      <c r="A28" s="19" t="s">
        <v>115</v>
      </c>
      <c r="B28" s="6" t="s">
        <v>116</v>
      </c>
      <c r="C28" s="20" t="s">
        <v>117</v>
      </c>
      <c r="D28" s="6"/>
      <c r="E28" s="8">
        <v>20.0</v>
      </c>
      <c r="F28" s="9" t="s">
        <v>14</v>
      </c>
      <c r="G28" s="10">
        <v>1.5</v>
      </c>
      <c r="H28" s="6" t="s">
        <v>118</v>
      </c>
      <c r="I28" s="11" t="s">
        <v>119</v>
      </c>
    </row>
    <row r="29" ht="21.75" customHeight="1">
      <c r="A29" s="19" t="s">
        <v>120</v>
      </c>
      <c r="B29" s="12" t="s">
        <v>121</v>
      </c>
      <c r="C29" s="20" t="s">
        <v>117</v>
      </c>
      <c r="D29" s="12" t="s">
        <v>115</v>
      </c>
      <c r="E29" s="13">
        <v>16.0</v>
      </c>
      <c r="F29" s="9" t="s">
        <v>14</v>
      </c>
      <c r="G29" s="14">
        <v>1.2</v>
      </c>
      <c r="H29" s="12" t="s">
        <v>122</v>
      </c>
      <c r="I29" s="15" t="s">
        <v>123</v>
      </c>
    </row>
    <row r="30" ht="21.75" customHeight="1">
      <c r="A30" s="19" t="s">
        <v>124</v>
      </c>
      <c r="B30" s="6" t="s">
        <v>125</v>
      </c>
      <c r="C30" s="20" t="s">
        <v>117</v>
      </c>
      <c r="D30" s="6" t="s">
        <v>126</v>
      </c>
      <c r="E30" s="8">
        <v>14.0</v>
      </c>
      <c r="F30" s="9" t="s">
        <v>14</v>
      </c>
      <c r="G30" s="10">
        <v>0.8</v>
      </c>
      <c r="H30" s="6" t="s">
        <v>81</v>
      </c>
      <c r="I30" s="11" t="s">
        <v>127</v>
      </c>
    </row>
    <row r="31" ht="21.75" customHeight="1">
      <c r="A31" s="19" t="s">
        <v>128</v>
      </c>
      <c r="B31" s="12" t="s">
        <v>129</v>
      </c>
      <c r="C31" s="20" t="s">
        <v>117</v>
      </c>
      <c r="D31" s="12" t="s">
        <v>124</v>
      </c>
      <c r="E31" s="13">
        <v>8.0</v>
      </c>
      <c r="F31" s="16" t="s">
        <v>33</v>
      </c>
      <c r="G31" s="14">
        <v>0.3</v>
      </c>
      <c r="H31" s="12" t="s">
        <v>130</v>
      </c>
      <c r="I31" s="15" t="s">
        <v>131</v>
      </c>
    </row>
    <row r="32" ht="21.75" customHeight="1">
      <c r="A32" s="19" t="s">
        <v>132</v>
      </c>
      <c r="B32" s="6" t="s">
        <v>133</v>
      </c>
      <c r="C32" s="20" t="s">
        <v>117</v>
      </c>
      <c r="D32" s="6" t="s">
        <v>134</v>
      </c>
      <c r="E32" s="8">
        <v>10.0</v>
      </c>
      <c r="F32" s="9" t="s">
        <v>14</v>
      </c>
      <c r="G32" s="10" t="s">
        <v>33</v>
      </c>
      <c r="H32" s="6" t="s">
        <v>33</v>
      </c>
      <c r="I32" s="11" t="s">
        <v>135</v>
      </c>
    </row>
    <row r="33" ht="21.75" customHeight="1">
      <c r="A33" s="21" t="s">
        <v>136</v>
      </c>
      <c r="B33" s="12" t="s">
        <v>137</v>
      </c>
      <c r="C33" s="22" t="s">
        <v>138</v>
      </c>
      <c r="D33" s="12"/>
      <c r="E33" s="13">
        <v>18.0</v>
      </c>
      <c r="F33" s="9" t="s">
        <v>14</v>
      </c>
      <c r="G33" s="14">
        <v>2.0</v>
      </c>
      <c r="H33" s="12" t="s">
        <v>118</v>
      </c>
      <c r="I33" s="15" t="s">
        <v>139</v>
      </c>
    </row>
    <row r="34" ht="21.75" customHeight="1">
      <c r="A34" s="21" t="s">
        <v>140</v>
      </c>
      <c r="B34" s="6" t="s">
        <v>141</v>
      </c>
      <c r="C34" s="22" t="s">
        <v>138</v>
      </c>
      <c r="D34" s="6" t="s">
        <v>136</v>
      </c>
      <c r="E34" s="8">
        <v>14.0</v>
      </c>
      <c r="F34" s="9" t="s">
        <v>14</v>
      </c>
      <c r="G34" s="10">
        <v>1.8</v>
      </c>
      <c r="H34" s="6" t="s">
        <v>142</v>
      </c>
      <c r="I34" s="11" t="s">
        <v>143</v>
      </c>
    </row>
    <row r="35" ht="21.75" customHeight="1">
      <c r="A35" s="21" t="s">
        <v>144</v>
      </c>
      <c r="B35" s="12" t="s">
        <v>145</v>
      </c>
      <c r="C35" s="22" t="s">
        <v>138</v>
      </c>
      <c r="D35" s="12" t="s">
        <v>146</v>
      </c>
      <c r="E35" s="13">
        <v>10.0</v>
      </c>
      <c r="F35" s="9" t="s">
        <v>14</v>
      </c>
      <c r="G35" s="14">
        <v>0.5</v>
      </c>
      <c r="H35" s="12" t="s">
        <v>147</v>
      </c>
      <c r="I35" s="15" t="s">
        <v>148</v>
      </c>
    </row>
    <row r="36" ht="21.75" customHeight="1">
      <c r="A36" s="21" t="s">
        <v>149</v>
      </c>
      <c r="B36" s="6" t="s">
        <v>150</v>
      </c>
      <c r="C36" s="22" t="s">
        <v>138</v>
      </c>
      <c r="D36" s="6" t="s">
        <v>151</v>
      </c>
      <c r="E36" s="8">
        <v>8.0</v>
      </c>
      <c r="F36" s="16" t="s">
        <v>33</v>
      </c>
      <c r="G36" s="10">
        <v>1.0</v>
      </c>
      <c r="H36" s="6" t="s">
        <v>152</v>
      </c>
      <c r="I36" s="11" t="s">
        <v>153</v>
      </c>
    </row>
    <row r="37" ht="21.75" customHeight="1">
      <c r="A37" s="21" t="s">
        <v>154</v>
      </c>
      <c r="B37" s="12" t="s">
        <v>155</v>
      </c>
      <c r="C37" s="22" t="s">
        <v>138</v>
      </c>
      <c r="D37" s="12" t="s">
        <v>156</v>
      </c>
      <c r="E37" s="13">
        <v>8.0</v>
      </c>
      <c r="F37" s="9" t="s">
        <v>14</v>
      </c>
      <c r="G37" s="14" t="s">
        <v>33</v>
      </c>
      <c r="H37" s="12" t="s">
        <v>33</v>
      </c>
      <c r="I37" s="15" t="s">
        <v>157</v>
      </c>
    </row>
    <row r="38" ht="21.75" customHeight="1">
      <c r="A38" s="23" t="s">
        <v>158</v>
      </c>
      <c r="B38" s="6" t="s">
        <v>159</v>
      </c>
      <c r="C38" s="24" t="s">
        <v>160</v>
      </c>
      <c r="D38" s="6"/>
      <c r="E38" s="8">
        <v>20.0</v>
      </c>
      <c r="F38" s="9" t="s">
        <v>14</v>
      </c>
      <c r="G38" s="10">
        <v>10.0</v>
      </c>
      <c r="H38" s="6" t="s">
        <v>161</v>
      </c>
      <c r="I38" s="11" t="s">
        <v>162</v>
      </c>
    </row>
    <row r="39" ht="21.75" customHeight="1">
      <c r="A39" s="23" t="s">
        <v>163</v>
      </c>
      <c r="B39" s="12" t="s">
        <v>164</v>
      </c>
      <c r="C39" s="24" t="s">
        <v>160</v>
      </c>
      <c r="D39" s="12" t="s">
        <v>158</v>
      </c>
      <c r="E39" s="13">
        <v>12.0</v>
      </c>
      <c r="F39" s="9" t="s">
        <v>14</v>
      </c>
      <c r="G39" s="14">
        <v>0.5</v>
      </c>
      <c r="H39" s="12" t="s">
        <v>165</v>
      </c>
      <c r="I39" s="15" t="s">
        <v>166</v>
      </c>
    </row>
    <row r="40" ht="21.75" customHeight="1">
      <c r="A40" s="23" t="s">
        <v>167</v>
      </c>
      <c r="B40" s="6" t="s">
        <v>168</v>
      </c>
      <c r="C40" s="24" t="s">
        <v>160</v>
      </c>
      <c r="D40" s="6" t="s">
        <v>169</v>
      </c>
      <c r="E40" s="8">
        <v>10.0</v>
      </c>
      <c r="F40" s="16" t="s">
        <v>33</v>
      </c>
      <c r="G40" s="10">
        <v>1.2</v>
      </c>
      <c r="H40" s="6" t="s">
        <v>170</v>
      </c>
      <c r="I40" s="11" t="s">
        <v>171</v>
      </c>
    </row>
    <row r="41" ht="21.75" customHeight="1">
      <c r="A41" s="23" t="s">
        <v>172</v>
      </c>
      <c r="B41" s="12" t="s">
        <v>173</v>
      </c>
      <c r="C41" s="24" t="s">
        <v>160</v>
      </c>
      <c r="D41" s="12" t="s">
        <v>174</v>
      </c>
      <c r="E41" s="13">
        <v>16.0</v>
      </c>
      <c r="F41" s="9" t="s">
        <v>14</v>
      </c>
      <c r="G41" s="14">
        <v>2.0</v>
      </c>
      <c r="H41" s="12" t="s">
        <v>175</v>
      </c>
      <c r="I41" s="15" t="s">
        <v>176</v>
      </c>
    </row>
    <row r="42" ht="21.75" customHeight="1">
      <c r="A42" s="25" t="s">
        <v>177</v>
      </c>
      <c r="B42" s="6" t="s">
        <v>178</v>
      </c>
      <c r="C42" s="26" t="s">
        <v>179</v>
      </c>
      <c r="D42" s="6"/>
      <c r="E42" s="8">
        <v>6.0</v>
      </c>
      <c r="F42" s="16" t="s">
        <v>33</v>
      </c>
      <c r="G42" s="10">
        <v>1.5</v>
      </c>
      <c r="H42" s="6" t="s">
        <v>180</v>
      </c>
      <c r="I42" s="11" t="s">
        <v>181</v>
      </c>
    </row>
    <row r="43" ht="21.75" customHeight="1">
      <c r="A43" s="25" t="s">
        <v>182</v>
      </c>
      <c r="B43" s="12" t="s">
        <v>183</v>
      </c>
      <c r="C43" s="26" t="s">
        <v>179</v>
      </c>
      <c r="D43" s="12" t="s">
        <v>177</v>
      </c>
      <c r="E43" s="13">
        <v>8.0</v>
      </c>
      <c r="F43" s="9" t="s">
        <v>14</v>
      </c>
      <c r="G43" s="14">
        <v>0.8</v>
      </c>
      <c r="H43" s="12" t="s">
        <v>184</v>
      </c>
      <c r="I43" s="15" t="s">
        <v>185</v>
      </c>
    </row>
    <row r="44" ht="21.75" customHeight="1">
      <c r="A44" s="25" t="s">
        <v>186</v>
      </c>
      <c r="B44" s="6" t="s">
        <v>187</v>
      </c>
      <c r="C44" s="26" t="s">
        <v>179</v>
      </c>
      <c r="D44" s="6" t="s">
        <v>188</v>
      </c>
      <c r="E44" s="8">
        <v>6.0</v>
      </c>
      <c r="F44" s="16" t="s">
        <v>33</v>
      </c>
      <c r="G44" s="10">
        <v>0.9</v>
      </c>
      <c r="H44" s="6" t="s">
        <v>105</v>
      </c>
      <c r="I44" s="11" t="s">
        <v>189</v>
      </c>
    </row>
    <row r="45" ht="21.75" customHeight="1">
      <c r="A45" s="25" t="s">
        <v>190</v>
      </c>
      <c r="B45" s="12" t="s">
        <v>191</v>
      </c>
      <c r="C45" s="26" t="s">
        <v>179</v>
      </c>
      <c r="D45" s="12" t="s">
        <v>182</v>
      </c>
      <c r="E45" s="13">
        <v>4.0</v>
      </c>
      <c r="F45" s="16" t="s">
        <v>33</v>
      </c>
      <c r="G45" s="14">
        <v>0.2</v>
      </c>
      <c r="H45" s="12" t="s">
        <v>109</v>
      </c>
      <c r="I45" s="15" t="s">
        <v>192</v>
      </c>
    </row>
    <row r="46" ht="21.75" customHeight="1">
      <c r="A46" s="27" t="s">
        <v>193</v>
      </c>
      <c r="B46" s="6" t="s">
        <v>194</v>
      </c>
      <c r="C46" s="28" t="s">
        <v>195</v>
      </c>
      <c r="D46" s="6"/>
      <c r="E46" s="8">
        <v>6.0</v>
      </c>
      <c r="F46" s="16" t="s">
        <v>33</v>
      </c>
      <c r="G46" s="10">
        <v>0.6</v>
      </c>
      <c r="H46" s="6" t="s">
        <v>196</v>
      </c>
      <c r="I46" s="11" t="s">
        <v>197</v>
      </c>
    </row>
    <row r="47" ht="21.75" customHeight="1">
      <c r="A47" s="27" t="s">
        <v>198</v>
      </c>
      <c r="B47" s="12" t="s">
        <v>199</v>
      </c>
      <c r="C47" s="28" t="s">
        <v>195</v>
      </c>
      <c r="D47" s="12" t="s">
        <v>193</v>
      </c>
      <c r="E47" s="13">
        <v>10.0</v>
      </c>
      <c r="F47" s="16" t="s">
        <v>33</v>
      </c>
      <c r="G47" s="14">
        <v>2.4</v>
      </c>
      <c r="H47" s="12" t="s">
        <v>200</v>
      </c>
      <c r="I47" s="15" t="s">
        <v>201</v>
      </c>
    </row>
    <row r="48" ht="21.75" customHeight="1">
      <c r="A48" s="27" t="s">
        <v>202</v>
      </c>
      <c r="B48" s="6" t="s">
        <v>203</v>
      </c>
      <c r="C48" s="28" t="s">
        <v>195</v>
      </c>
      <c r="D48" s="6" t="s">
        <v>204</v>
      </c>
      <c r="E48" s="8">
        <v>6.0</v>
      </c>
      <c r="F48" s="16" t="s">
        <v>33</v>
      </c>
      <c r="G48" s="10">
        <v>0.5</v>
      </c>
      <c r="H48" s="6" t="s">
        <v>205</v>
      </c>
      <c r="I48" s="11" t="s">
        <v>206</v>
      </c>
    </row>
    <row r="49" ht="21.75" customHeight="1">
      <c r="A49" s="29" t="s">
        <v>207</v>
      </c>
      <c r="B49" s="12" t="s">
        <v>208</v>
      </c>
      <c r="C49" s="30" t="s">
        <v>209</v>
      </c>
      <c r="D49" s="12"/>
      <c r="E49" s="13">
        <v>12.0</v>
      </c>
      <c r="F49" s="16" t="s">
        <v>33</v>
      </c>
      <c r="G49" s="14">
        <v>4.0</v>
      </c>
      <c r="H49" s="12" t="s">
        <v>210</v>
      </c>
      <c r="I49" s="15" t="s">
        <v>211</v>
      </c>
    </row>
    <row r="50" ht="21.75" customHeight="1">
      <c r="A50" s="29" t="s">
        <v>212</v>
      </c>
      <c r="B50" s="6" t="s">
        <v>213</v>
      </c>
      <c r="C50" s="30" t="s">
        <v>209</v>
      </c>
      <c r="D50" s="6" t="s">
        <v>207</v>
      </c>
      <c r="E50" s="8">
        <v>6.0</v>
      </c>
      <c r="F50" s="9" t="s">
        <v>14</v>
      </c>
      <c r="G50" s="10">
        <v>0.4</v>
      </c>
      <c r="H50" s="6" t="s">
        <v>214</v>
      </c>
      <c r="I50" s="11" t="s">
        <v>215</v>
      </c>
    </row>
    <row r="51" ht="21.75" customHeight="1">
      <c r="A51" s="29" t="s">
        <v>216</v>
      </c>
      <c r="B51" s="12" t="s">
        <v>217</v>
      </c>
      <c r="C51" s="30" t="s">
        <v>209</v>
      </c>
      <c r="D51" s="12" t="s">
        <v>218</v>
      </c>
      <c r="E51" s="13">
        <v>4.0</v>
      </c>
      <c r="F51" s="16" t="s">
        <v>33</v>
      </c>
      <c r="G51" s="14">
        <v>0.3</v>
      </c>
      <c r="H51" s="12" t="s">
        <v>219</v>
      </c>
      <c r="I51" s="15" t="s">
        <v>220</v>
      </c>
    </row>
    <row r="52" ht="21.75" customHeight="1">
      <c r="A52" s="31" t="s">
        <v>221</v>
      </c>
      <c r="B52" s="6" t="s">
        <v>222</v>
      </c>
      <c r="C52" s="32" t="s">
        <v>223</v>
      </c>
      <c r="D52" s="6"/>
      <c r="E52" s="8">
        <v>8.0</v>
      </c>
      <c r="F52" s="9" t="s">
        <v>14</v>
      </c>
      <c r="G52" s="10">
        <v>0.9</v>
      </c>
      <c r="H52" s="6" t="s">
        <v>224</v>
      </c>
      <c r="I52" s="11" t="s">
        <v>225</v>
      </c>
    </row>
    <row r="53" ht="21.75" customHeight="1">
      <c r="A53" s="31" t="s">
        <v>226</v>
      </c>
      <c r="B53" s="12" t="s">
        <v>227</v>
      </c>
      <c r="C53" s="32" t="s">
        <v>223</v>
      </c>
      <c r="D53" s="12" t="s">
        <v>221</v>
      </c>
      <c r="E53" s="13">
        <v>16.0</v>
      </c>
      <c r="F53" s="16" t="s">
        <v>33</v>
      </c>
      <c r="G53" s="14">
        <v>3.5</v>
      </c>
      <c r="H53" s="12" t="s">
        <v>228</v>
      </c>
      <c r="I53" s="15" t="s">
        <v>229</v>
      </c>
    </row>
    <row r="54" ht="21.75" customHeight="1">
      <c r="A54" s="31" t="s">
        <v>230</v>
      </c>
      <c r="B54" s="6" t="s">
        <v>231</v>
      </c>
      <c r="C54" s="32" t="s">
        <v>223</v>
      </c>
      <c r="D54" s="6" t="s">
        <v>232</v>
      </c>
      <c r="E54" s="8">
        <v>10.0</v>
      </c>
      <c r="F54" s="16" t="s">
        <v>33</v>
      </c>
      <c r="G54" s="10">
        <v>0.6</v>
      </c>
      <c r="H54" s="6" t="s">
        <v>233</v>
      </c>
      <c r="I54" s="11" t="s">
        <v>234</v>
      </c>
    </row>
    <row r="55" ht="21.75" customHeight="1">
      <c r="A55" s="33" t="s">
        <v>235</v>
      </c>
      <c r="B55" s="12" t="s">
        <v>236</v>
      </c>
      <c r="C55" s="34" t="s">
        <v>237</v>
      </c>
      <c r="D55" s="12"/>
      <c r="E55" s="13">
        <v>96.0</v>
      </c>
      <c r="F55" s="9" t="s">
        <v>14</v>
      </c>
      <c r="G55" s="14">
        <v>35.0</v>
      </c>
      <c r="H55" s="12" t="s">
        <v>238</v>
      </c>
      <c r="I55" s="15" t="s">
        <v>239</v>
      </c>
    </row>
    <row r="56" ht="21.75" customHeight="1">
      <c r="A56" s="33" t="s">
        <v>240</v>
      </c>
      <c r="B56" s="6" t="s">
        <v>241</v>
      </c>
      <c r="C56" s="34" t="s">
        <v>237</v>
      </c>
      <c r="D56" s="6" t="s">
        <v>235</v>
      </c>
      <c r="E56" s="8">
        <v>24.0</v>
      </c>
      <c r="F56" s="9" t="s">
        <v>14</v>
      </c>
      <c r="G56" s="10">
        <v>7.5</v>
      </c>
      <c r="H56" s="6" t="s">
        <v>242</v>
      </c>
      <c r="I56" s="11" t="s">
        <v>243</v>
      </c>
    </row>
    <row r="57" ht="21.75" customHeight="1">
      <c r="A57" s="33" t="s">
        <v>244</v>
      </c>
      <c r="B57" s="12" t="s">
        <v>245</v>
      </c>
      <c r="C57" s="34" t="s">
        <v>237</v>
      </c>
      <c r="D57" s="12" t="s">
        <v>235</v>
      </c>
      <c r="E57" s="13">
        <v>4.0</v>
      </c>
      <c r="F57" s="16" t="s">
        <v>33</v>
      </c>
      <c r="G57" s="14">
        <v>12.0</v>
      </c>
      <c r="H57" s="12" t="s">
        <v>246</v>
      </c>
      <c r="I57" s="15" t="s">
        <v>247</v>
      </c>
    </row>
    <row r="58" ht="21.75" customHeight="1">
      <c r="A58" s="33" t="s">
        <v>248</v>
      </c>
      <c r="B58" s="6" t="s">
        <v>249</v>
      </c>
      <c r="C58" s="34" t="s">
        <v>237</v>
      </c>
      <c r="D58" s="6" t="s">
        <v>250</v>
      </c>
      <c r="E58" s="8">
        <v>8.0</v>
      </c>
      <c r="F58" s="9" t="s">
        <v>14</v>
      </c>
      <c r="G58" s="10" t="s">
        <v>33</v>
      </c>
      <c r="H58" s="6" t="s">
        <v>251</v>
      </c>
      <c r="I58" s="11" t="s">
        <v>252</v>
      </c>
    </row>
    <row r="59" ht="21.75" customHeight="1">
      <c r="A59" s="35" t="s">
        <v>253</v>
      </c>
      <c r="B59" s="12" t="s">
        <v>254</v>
      </c>
      <c r="C59" s="36" t="s">
        <v>255</v>
      </c>
      <c r="D59" s="12" t="s">
        <v>235</v>
      </c>
      <c r="E59" s="13">
        <v>12.0</v>
      </c>
      <c r="F59" s="16" t="s">
        <v>33</v>
      </c>
      <c r="G59" s="14">
        <v>0.6</v>
      </c>
      <c r="H59" s="12" t="s">
        <v>256</v>
      </c>
      <c r="I59" s="15" t="s">
        <v>257</v>
      </c>
    </row>
    <row r="60" ht="21.75" customHeight="1">
      <c r="A60" s="35" t="s">
        <v>258</v>
      </c>
      <c r="B60" s="6" t="s">
        <v>259</v>
      </c>
      <c r="C60" s="36" t="s">
        <v>255</v>
      </c>
      <c r="D60" s="6" t="s">
        <v>235</v>
      </c>
      <c r="E60" s="8">
        <v>12.0</v>
      </c>
      <c r="F60" s="16" t="s">
        <v>33</v>
      </c>
      <c r="G60" s="10">
        <v>0.7</v>
      </c>
      <c r="H60" s="6" t="s">
        <v>256</v>
      </c>
      <c r="I60" s="11" t="s">
        <v>260</v>
      </c>
    </row>
    <row r="61" ht="21.75" customHeight="1">
      <c r="A61" s="35" t="s">
        <v>261</v>
      </c>
      <c r="B61" s="12" t="s">
        <v>262</v>
      </c>
      <c r="C61" s="36" t="s">
        <v>255</v>
      </c>
      <c r="D61" s="12" t="s">
        <v>263</v>
      </c>
      <c r="E61" s="13">
        <v>6.0</v>
      </c>
      <c r="F61" s="16" t="s">
        <v>33</v>
      </c>
      <c r="G61" s="14">
        <v>0.2</v>
      </c>
      <c r="H61" s="12" t="s">
        <v>256</v>
      </c>
      <c r="I61" s="15" t="s">
        <v>264</v>
      </c>
    </row>
    <row r="62" ht="21.75" customHeight="1">
      <c r="A62" s="35" t="s">
        <v>265</v>
      </c>
      <c r="B62" s="6" t="s">
        <v>266</v>
      </c>
      <c r="C62" s="36" t="s">
        <v>255</v>
      </c>
      <c r="D62" s="6" t="s">
        <v>261</v>
      </c>
      <c r="E62" s="8">
        <v>8.0</v>
      </c>
      <c r="F62" s="16" t="s">
        <v>33</v>
      </c>
      <c r="G62" s="10">
        <v>0.4</v>
      </c>
      <c r="H62" s="6" t="s">
        <v>24</v>
      </c>
      <c r="I62" s="11" t="s">
        <v>267</v>
      </c>
    </row>
    <row r="63" ht="21.75" customHeight="1">
      <c r="A63" s="35" t="s">
        <v>268</v>
      </c>
      <c r="B63" s="12" t="s">
        <v>269</v>
      </c>
      <c r="C63" s="36" t="s">
        <v>255</v>
      </c>
      <c r="D63" s="12" t="s">
        <v>263</v>
      </c>
      <c r="E63" s="13">
        <v>14.0</v>
      </c>
      <c r="F63" s="16" t="s">
        <v>33</v>
      </c>
      <c r="G63" s="14">
        <v>1.8</v>
      </c>
      <c r="H63" s="12" t="s">
        <v>270</v>
      </c>
      <c r="I63" s="15" t="s">
        <v>271</v>
      </c>
    </row>
    <row r="64" ht="21.75" customHeight="1">
      <c r="A64" s="35" t="s">
        <v>272</v>
      </c>
      <c r="B64" s="6" t="s">
        <v>273</v>
      </c>
      <c r="C64" s="36" t="s">
        <v>255</v>
      </c>
      <c r="D64" s="6" t="s">
        <v>265</v>
      </c>
      <c r="E64" s="8">
        <v>4.0</v>
      </c>
      <c r="F64" s="16" t="s">
        <v>33</v>
      </c>
      <c r="G64" s="10">
        <v>0.1</v>
      </c>
      <c r="H64" s="6" t="s">
        <v>256</v>
      </c>
      <c r="I64" s="11" t="s">
        <v>274</v>
      </c>
    </row>
    <row r="65" ht="21.75" customHeight="1">
      <c r="A65" s="37" t="s">
        <v>275</v>
      </c>
      <c r="B65" s="12" t="s">
        <v>276</v>
      </c>
      <c r="C65" s="38" t="s">
        <v>277</v>
      </c>
      <c r="D65" s="12" t="s">
        <v>248</v>
      </c>
      <c r="E65" s="13">
        <v>12.0</v>
      </c>
      <c r="F65" s="16" t="s">
        <v>33</v>
      </c>
      <c r="G65" s="14">
        <v>0.7</v>
      </c>
      <c r="H65" s="12" t="s">
        <v>256</v>
      </c>
      <c r="I65" s="15" t="s">
        <v>278</v>
      </c>
    </row>
    <row r="66" ht="21.75" customHeight="1">
      <c r="A66" s="37" t="s">
        <v>279</v>
      </c>
      <c r="B66" s="6" t="s">
        <v>280</v>
      </c>
      <c r="C66" s="38" t="s">
        <v>277</v>
      </c>
      <c r="D66" s="6" t="s">
        <v>248</v>
      </c>
      <c r="E66" s="8">
        <v>12.0</v>
      </c>
      <c r="F66" s="16" t="s">
        <v>33</v>
      </c>
      <c r="G66" s="10">
        <v>0.8</v>
      </c>
      <c r="H66" s="6" t="s">
        <v>256</v>
      </c>
      <c r="I66" s="11" t="s">
        <v>281</v>
      </c>
    </row>
    <row r="67" ht="21.75" customHeight="1">
      <c r="A67" s="37" t="s">
        <v>282</v>
      </c>
      <c r="B67" s="12" t="s">
        <v>283</v>
      </c>
      <c r="C67" s="38" t="s">
        <v>277</v>
      </c>
      <c r="D67" s="12" t="s">
        <v>284</v>
      </c>
      <c r="E67" s="13">
        <v>6.0</v>
      </c>
      <c r="F67" s="16" t="s">
        <v>33</v>
      </c>
      <c r="G67" s="14">
        <v>0.2</v>
      </c>
      <c r="H67" s="12" t="s">
        <v>256</v>
      </c>
      <c r="I67" s="15" t="s">
        <v>285</v>
      </c>
    </row>
    <row r="68" ht="21.75" customHeight="1">
      <c r="A68" s="37" t="s">
        <v>286</v>
      </c>
      <c r="B68" s="6" t="s">
        <v>287</v>
      </c>
      <c r="C68" s="38" t="s">
        <v>277</v>
      </c>
      <c r="D68" s="6" t="s">
        <v>282</v>
      </c>
      <c r="E68" s="8">
        <v>10.0</v>
      </c>
      <c r="F68" s="16" t="s">
        <v>33</v>
      </c>
      <c r="G68" s="10">
        <v>0.5</v>
      </c>
      <c r="H68" s="6" t="s">
        <v>288</v>
      </c>
      <c r="I68" s="11" t="s">
        <v>289</v>
      </c>
    </row>
    <row r="69" ht="21.75" customHeight="1">
      <c r="A69" s="37" t="s">
        <v>290</v>
      </c>
      <c r="B69" s="12" t="s">
        <v>291</v>
      </c>
      <c r="C69" s="38" t="s">
        <v>277</v>
      </c>
      <c r="D69" s="12" t="s">
        <v>284</v>
      </c>
      <c r="E69" s="13">
        <v>14.0</v>
      </c>
      <c r="F69" s="16" t="s">
        <v>33</v>
      </c>
      <c r="G69" s="14">
        <v>2.0</v>
      </c>
      <c r="H69" s="12" t="s">
        <v>270</v>
      </c>
      <c r="I69" s="15" t="s">
        <v>292</v>
      </c>
    </row>
    <row r="70" ht="21.75" customHeight="1">
      <c r="A70" s="37" t="s">
        <v>293</v>
      </c>
      <c r="B70" s="6" t="s">
        <v>294</v>
      </c>
      <c r="C70" s="38" t="s">
        <v>277</v>
      </c>
      <c r="D70" s="6" t="s">
        <v>286</v>
      </c>
      <c r="E70" s="8">
        <v>4.0</v>
      </c>
      <c r="F70" s="16" t="s">
        <v>33</v>
      </c>
      <c r="G70" s="10">
        <v>0.1</v>
      </c>
      <c r="H70" s="6" t="s">
        <v>256</v>
      </c>
      <c r="I70" s="11" t="s">
        <v>295</v>
      </c>
    </row>
    <row r="71" ht="21.75" customHeight="1">
      <c r="A71" s="39" t="s">
        <v>296</v>
      </c>
      <c r="B71" s="12" t="s">
        <v>297</v>
      </c>
      <c r="C71" s="40" t="s">
        <v>298</v>
      </c>
      <c r="D71" s="12" t="s">
        <v>235</v>
      </c>
      <c r="E71" s="13">
        <v>40.0</v>
      </c>
      <c r="F71" s="9" t="s">
        <v>14</v>
      </c>
      <c r="G71" s="14">
        <v>5.5</v>
      </c>
      <c r="H71" s="12" t="s">
        <v>299</v>
      </c>
      <c r="I71" s="15" t="s">
        <v>300</v>
      </c>
    </row>
    <row r="72" ht="21.75" customHeight="1">
      <c r="A72" s="39" t="s">
        <v>301</v>
      </c>
      <c r="B72" s="6" t="s">
        <v>302</v>
      </c>
      <c r="C72" s="40" t="s">
        <v>298</v>
      </c>
      <c r="D72" s="6" t="s">
        <v>296</v>
      </c>
      <c r="E72" s="8">
        <v>20.0</v>
      </c>
      <c r="F72" s="16" t="s">
        <v>33</v>
      </c>
      <c r="G72" s="10">
        <v>1.2</v>
      </c>
      <c r="H72" s="6" t="s">
        <v>299</v>
      </c>
      <c r="I72" s="11" t="s">
        <v>303</v>
      </c>
    </row>
    <row r="73" ht="21.75" customHeight="1">
      <c r="A73" s="39" t="s">
        <v>304</v>
      </c>
      <c r="B73" s="12" t="s">
        <v>305</v>
      </c>
      <c r="C73" s="40" t="s">
        <v>298</v>
      </c>
      <c r="D73" s="12" t="s">
        <v>306</v>
      </c>
      <c r="E73" s="13">
        <v>24.0</v>
      </c>
      <c r="F73" s="9" t="s">
        <v>14</v>
      </c>
      <c r="G73" s="14">
        <v>3.0</v>
      </c>
      <c r="H73" s="12" t="s">
        <v>307</v>
      </c>
      <c r="I73" s="15" t="s">
        <v>308</v>
      </c>
    </row>
    <row r="74" ht="21.75" customHeight="1">
      <c r="A74" s="39" t="s">
        <v>309</v>
      </c>
      <c r="B74" s="6" t="s">
        <v>310</v>
      </c>
      <c r="C74" s="40" t="s">
        <v>298</v>
      </c>
      <c r="D74" s="6" t="s">
        <v>311</v>
      </c>
      <c r="E74" s="8">
        <v>28.0</v>
      </c>
      <c r="F74" s="16" t="s">
        <v>33</v>
      </c>
      <c r="G74" s="10">
        <v>1.5</v>
      </c>
      <c r="H74" s="6" t="s">
        <v>299</v>
      </c>
      <c r="I74" s="11" t="s">
        <v>312</v>
      </c>
    </row>
    <row r="75" ht="21.75" customHeight="1">
      <c r="A75" s="39" t="s">
        <v>313</v>
      </c>
      <c r="B75" s="12" t="s">
        <v>314</v>
      </c>
      <c r="C75" s="40" t="s">
        <v>298</v>
      </c>
      <c r="D75" s="12" t="s">
        <v>235</v>
      </c>
      <c r="E75" s="13">
        <v>36.0</v>
      </c>
      <c r="F75" s="9" t="s">
        <v>14</v>
      </c>
      <c r="G75" s="14">
        <v>8.0</v>
      </c>
      <c r="H75" s="12" t="s">
        <v>315</v>
      </c>
      <c r="I75" s="15" t="s">
        <v>316</v>
      </c>
    </row>
    <row r="76" ht="21.75" customHeight="1">
      <c r="A76" s="41" t="s">
        <v>317</v>
      </c>
      <c r="B76" s="6" t="s">
        <v>318</v>
      </c>
      <c r="C76" s="42" t="s">
        <v>319</v>
      </c>
      <c r="D76" s="6" t="s">
        <v>248</v>
      </c>
      <c r="E76" s="8">
        <v>30.0</v>
      </c>
      <c r="F76" s="9" t="s">
        <v>14</v>
      </c>
      <c r="G76" s="10">
        <v>4.0</v>
      </c>
      <c r="H76" s="6" t="s">
        <v>299</v>
      </c>
      <c r="I76" s="11" t="s">
        <v>320</v>
      </c>
    </row>
    <row r="77" ht="21.75" customHeight="1">
      <c r="A77" s="41" t="s">
        <v>321</v>
      </c>
      <c r="B77" s="12" t="s">
        <v>322</v>
      </c>
      <c r="C77" s="42" t="s">
        <v>319</v>
      </c>
      <c r="D77" s="12" t="s">
        <v>317</v>
      </c>
      <c r="E77" s="13">
        <v>12.0</v>
      </c>
      <c r="F77" s="16" t="s">
        <v>33</v>
      </c>
      <c r="G77" s="14">
        <v>0.5</v>
      </c>
      <c r="H77" s="12" t="s">
        <v>299</v>
      </c>
      <c r="I77" s="15" t="s">
        <v>323</v>
      </c>
    </row>
    <row r="78" ht="21.75" customHeight="1">
      <c r="A78" s="41" t="s">
        <v>324</v>
      </c>
      <c r="B78" s="6" t="s">
        <v>325</v>
      </c>
      <c r="C78" s="42" t="s">
        <v>319</v>
      </c>
      <c r="D78" s="6" t="s">
        <v>326</v>
      </c>
      <c r="E78" s="8">
        <v>14.0</v>
      </c>
      <c r="F78" s="16" t="s">
        <v>33</v>
      </c>
      <c r="G78" s="10">
        <v>1.0</v>
      </c>
      <c r="H78" s="6" t="s">
        <v>299</v>
      </c>
      <c r="I78" s="11" t="s">
        <v>327</v>
      </c>
    </row>
    <row r="79" ht="21.75" customHeight="1">
      <c r="A79" s="41" t="s">
        <v>328</v>
      </c>
      <c r="B79" s="12" t="s">
        <v>329</v>
      </c>
      <c r="C79" s="42" t="s">
        <v>319</v>
      </c>
      <c r="D79" s="12" t="s">
        <v>330</v>
      </c>
      <c r="E79" s="13">
        <v>28.0</v>
      </c>
      <c r="F79" s="9" t="s">
        <v>14</v>
      </c>
      <c r="G79" s="14">
        <v>3.5</v>
      </c>
      <c r="H79" s="12" t="s">
        <v>299</v>
      </c>
      <c r="I79" s="15" t="s">
        <v>331</v>
      </c>
    </row>
    <row r="80" ht="21.75" customHeight="1">
      <c r="A80" s="43" t="s">
        <v>332</v>
      </c>
      <c r="B80" s="6" t="s">
        <v>333</v>
      </c>
      <c r="C80" s="44" t="s">
        <v>334</v>
      </c>
      <c r="D80" s="6" t="s">
        <v>248</v>
      </c>
      <c r="E80" s="8">
        <v>48.0</v>
      </c>
      <c r="F80" s="9" t="s">
        <v>14</v>
      </c>
      <c r="G80" s="10">
        <v>18.0</v>
      </c>
      <c r="H80" s="6" t="s">
        <v>242</v>
      </c>
      <c r="I80" s="11" t="s">
        <v>335</v>
      </c>
    </row>
    <row r="81" ht="21.75" customHeight="1">
      <c r="A81" s="43" t="s">
        <v>336</v>
      </c>
      <c r="B81" s="12" t="s">
        <v>337</v>
      </c>
      <c r="C81" s="44" t="s">
        <v>334</v>
      </c>
      <c r="D81" s="12" t="s">
        <v>332</v>
      </c>
      <c r="E81" s="13">
        <v>32.0</v>
      </c>
      <c r="F81" s="9" t="s">
        <v>14</v>
      </c>
      <c r="G81" s="14">
        <v>4.5</v>
      </c>
      <c r="H81" s="12" t="s">
        <v>338</v>
      </c>
      <c r="I81" s="15" t="s">
        <v>339</v>
      </c>
    </row>
    <row r="82" ht="21.75" customHeight="1">
      <c r="A82" s="43" t="s">
        <v>340</v>
      </c>
      <c r="B82" s="6" t="s">
        <v>341</v>
      </c>
      <c r="C82" s="44" t="s">
        <v>334</v>
      </c>
      <c r="D82" s="6" t="s">
        <v>342</v>
      </c>
      <c r="E82" s="8">
        <v>14.0</v>
      </c>
      <c r="F82" s="9" t="s">
        <v>14</v>
      </c>
      <c r="G82" s="10">
        <v>1.8</v>
      </c>
      <c r="H82" s="6" t="s">
        <v>343</v>
      </c>
      <c r="I82" s="11" t="s">
        <v>344</v>
      </c>
    </row>
    <row r="83" ht="21.75" customHeight="1">
      <c r="A83" s="43" t="s">
        <v>345</v>
      </c>
      <c r="B83" s="12" t="s">
        <v>346</v>
      </c>
      <c r="C83" s="44" t="s">
        <v>334</v>
      </c>
      <c r="D83" s="12" t="s">
        <v>347</v>
      </c>
      <c r="E83" s="13">
        <v>10.0</v>
      </c>
      <c r="F83" s="16" t="s">
        <v>33</v>
      </c>
      <c r="G83" s="14">
        <v>1.2</v>
      </c>
      <c r="H83" s="12" t="s">
        <v>348</v>
      </c>
      <c r="I83" s="15" t="s">
        <v>349</v>
      </c>
    </row>
    <row r="84" ht="21.75" customHeight="1">
      <c r="A84" s="43" t="s">
        <v>350</v>
      </c>
      <c r="B84" s="6" t="s">
        <v>351</v>
      </c>
      <c r="C84" s="44" t="s">
        <v>334</v>
      </c>
      <c r="D84" s="6" t="s">
        <v>352</v>
      </c>
      <c r="E84" s="8">
        <v>8.0</v>
      </c>
      <c r="F84" s="9" t="s">
        <v>14</v>
      </c>
      <c r="G84" s="10">
        <v>0.6</v>
      </c>
      <c r="H84" s="6" t="s">
        <v>353</v>
      </c>
      <c r="I84" s="11" t="s">
        <v>354</v>
      </c>
    </row>
    <row r="85" ht="21.75" customHeight="1">
      <c r="A85" s="9" t="s">
        <v>355</v>
      </c>
      <c r="B85" s="12" t="s">
        <v>356</v>
      </c>
      <c r="C85" s="45" t="s">
        <v>357</v>
      </c>
      <c r="D85" s="12" t="s">
        <v>268</v>
      </c>
      <c r="E85" s="13">
        <v>16.0</v>
      </c>
      <c r="F85" s="9" t="s">
        <v>14</v>
      </c>
      <c r="G85" s="14">
        <v>1.0</v>
      </c>
      <c r="H85" s="12" t="s">
        <v>358</v>
      </c>
      <c r="I85" s="15" t="s">
        <v>359</v>
      </c>
    </row>
    <row r="86" ht="21.75" customHeight="1">
      <c r="A86" s="9" t="s">
        <v>360</v>
      </c>
      <c r="B86" s="6" t="s">
        <v>361</v>
      </c>
      <c r="C86" s="45" t="s">
        <v>357</v>
      </c>
      <c r="D86" s="6" t="s">
        <v>290</v>
      </c>
      <c r="E86" s="8">
        <v>14.0</v>
      </c>
      <c r="F86" s="16" t="s">
        <v>33</v>
      </c>
      <c r="G86" s="10">
        <v>0.9</v>
      </c>
      <c r="H86" s="6" t="s">
        <v>358</v>
      </c>
      <c r="I86" s="11" t="s">
        <v>362</v>
      </c>
    </row>
    <row r="87" ht="21.75" customHeight="1">
      <c r="A87" s="9" t="s">
        <v>363</v>
      </c>
      <c r="B87" s="12" t="s">
        <v>364</v>
      </c>
      <c r="C87" s="45" t="s">
        <v>357</v>
      </c>
      <c r="D87" s="12" t="s">
        <v>365</v>
      </c>
      <c r="E87" s="13">
        <v>10.0</v>
      </c>
      <c r="F87" s="16" t="s">
        <v>33</v>
      </c>
      <c r="G87" s="14">
        <v>1.4</v>
      </c>
      <c r="H87" s="12" t="s">
        <v>366</v>
      </c>
      <c r="I87" s="15" t="s">
        <v>367</v>
      </c>
    </row>
    <row r="88" ht="21.75" customHeight="1">
      <c r="A88" s="9" t="s">
        <v>368</v>
      </c>
      <c r="B88" s="6" t="s">
        <v>369</v>
      </c>
      <c r="C88" s="45" t="s">
        <v>357</v>
      </c>
      <c r="D88" s="6" t="s">
        <v>370</v>
      </c>
      <c r="E88" s="8">
        <v>10.0</v>
      </c>
      <c r="F88" s="16" t="s">
        <v>33</v>
      </c>
      <c r="G88" s="10">
        <v>1.2</v>
      </c>
      <c r="H88" s="6" t="s">
        <v>366</v>
      </c>
      <c r="I88" s="11" t="s">
        <v>371</v>
      </c>
    </row>
    <row r="89" ht="21.75" customHeight="1">
      <c r="A89" s="9" t="s">
        <v>372</v>
      </c>
      <c r="B89" s="12" t="s">
        <v>373</v>
      </c>
      <c r="C89" s="45" t="s">
        <v>357</v>
      </c>
      <c r="D89" s="12" t="s">
        <v>374</v>
      </c>
      <c r="E89" s="13">
        <v>8.0</v>
      </c>
      <c r="F89" s="16" t="s">
        <v>33</v>
      </c>
      <c r="G89" s="14">
        <v>0.6</v>
      </c>
      <c r="H89" s="12" t="s">
        <v>256</v>
      </c>
      <c r="I89" s="15" t="s">
        <v>375</v>
      </c>
    </row>
    <row r="90" ht="21.75" customHeight="1">
      <c r="A90" s="9" t="s">
        <v>376</v>
      </c>
      <c r="B90" s="6" t="s">
        <v>377</v>
      </c>
      <c r="C90" s="45" t="s">
        <v>357</v>
      </c>
      <c r="D90" s="6" t="s">
        <v>378</v>
      </c>
      <c r="E90" s="8">
        <v>10.0</v>
      </c>
      <c r="F90" s="9" t="s">
        <v>14</v>
      </c>
      <c r="G90" s="10">
        <v>0.8</v>
      </c>
      <c r="H90" s="6" t="s">
        <v>379</v>
      </c>
      <c r="I90" s="11" t="s">
        <v>380</v>
      </c>
    </row>
    <row r="91" ht="21.75" customHeight="1">
      <c r="A91" s="46" t="s">
        <v>381</v>
      </c>
      <c r="B91" s="12" t="s">
        <v>382</v>
      </c>
      <c r="C91" s="47" t="s">
        <v>383</v>
      </c>
      <c r="D91" s="12" t="s">
        <v>268</v>
      </c>
      <c r="E91" s="13">
        <v>8.0</v>
      </c>
      <c r="F91" s="16" t="s">
        <v>33</v>
      </c>
      <c r="G91" s="14">
        <v>2.0</v>
      </c>
      <c r="H91" s="12" t="s">
        <v>384</v>
      </c>
      <c r="I91" s="15" t="s">
        <v>385</v>
      </c>
    </row>
    <row r="92" ht="21.75" customHeight="1">
      <c r="A92" s="46" t="s">
        <v>386</v>
      </c>
      <c r="B92" s="6" t="s">
        <v>387</v>
      </c>
      <c r="C92" s="47" t="s">
        <v>383</v>
      </c>
      <c r="D92" s="6" t="s">
        <v>290</v>
      </c>
      <c r="E92" s="8">
        <v>8.0</v>
      </c>
      <c r="F92" s="16" t="s">
        <v>33</v>
      </c>
      <c r="G92" s="10">
        <v>2.5</v>
      </c>
      <c r="H92" s="6" t="s">
        <v>384</v>
      </c>
      <c r="I92" s="11" t="s">
        <v>388</v>
      </c>
    </row>
    <row r="93" ht="21.75" customHeight="1">
      <c r="A93" s="46" t="s">
        <v>389</v>
      </c>
      <c r="B93" s="12" t="s">
        <v>390</v>
      </c>
      <c r="C93" s="47" t="s">
        <v>383</v>
      </c>
      <c r="D93" s="12" t="s">
        <v>391</v>
      </c>
      <c r="E93" s="13">
        <v>2.0</v>
      </c>
      <c r="F93" s="16" t="s">
        <v>33</v>
      </c>
      <c r="G93" s="14">
        <v>10.0</v>
      </c>
      <c r="H93" s="12" t="s">
        <v>392</v>
      </c>
      <c r="I93" s="15" t="s">
        <v>393</v>
      </c>
    </row>
    <row r="94" ht="21.75" customHeight="1">
      <c r="A94" s="48" t="s">
        <v>394</v>
      </c>
      <c r="B94" s="6" t="s">
        <v>395</v>
      </c>
      <c r="C94" s="49" t="s">
        <v>396</v>
      </c>
      <c r="D94" s="6" t="s">
        <v>235</v>
      </c>
      <c r="E94" s="8">
        <v>16.0</v>
      </c>
      <c r="F94" s="9" t="s">
        <v>14</v>
      </c>
      <c r="G94" s="10">
        <v>7.5</v>
      </c>
      <c r="H94" s="6" t="s">
        <v>397</v>
      </c>
      <c r="I94" s="11" t="s">
        <v>398</v>
      </c>
    </row>
    <row r="95" ht="21.75" customHeight="1">
      <c r="A95" s="48" t="s">
        <v>399</v>
      </c>
      <c r="B95" s="12" t="s">
        <v>400</v>
      </c>
      <c r="C95" s="49" t="s">
        <v>396</v>
      </c>
      <c r="D95" s="12" t="s">
        <v>235</v>
      </c>
      <c r="E95" s="13">
        <v>12.0</v>
      </c>
      <c r="F95" s="16" t="s">
        <v>33</v>
      </c>
      <c r="G95" s="14">
        <v>3.0</v>
      </c>
      <c r="H95" s="12" t="s">
        <v>256</v>
      </c>
      <c r="I95" s="15" t="s">
        <v>401</v>
      </c>
    </row>
    <row r="96" ht="21.75" customHeight="1">
      <c r="A96" s="48" t="s">
        <v>402</v>
      </c>
      <c r="B96" s="6" t="s">
        <v>403</v>
      </c>
      <c r="C96" s="49" t="s">
        <v>396</v>
      </c>
      <c r="D96" s="6" t="s">
        <v>404</v>
      </c>
      <c r="E96" s="8">
        <v>20.0</v>
      </c>
      <c r="F96" s="9" t="s">
        <v>14</v>
      </c>
      <c r="G96" s="10">
        <v>1.5</v>
      </c>
      <c r="H96" s="6" t="s">
        <v>405</v>
      </c>
      <c r="I96" s="11" t="s">
        <v>406</v>
      </c>
    </row>
    <row r="97" ht="21.75" customHeight="1">
      <c r="A97" s="48" t="s">
        <v>407</v>
      </c>
      <c r="B97" s="12" t="s">
        <v>408</v>
      </c>
      <c r="C97" s="49" t="s">
        <v>396</v>
      </c>
      <c r="D97" s="12" t="s">
        <v>409</v>
      </c>
      <c r="E97" s="13">
        <v>2.0</v>
      </c>
      <c r="F97" s="16" t="s">
        <v>33</v>
      </c>
      <c r="G97" s="14">
        <v>0.5</v>
      </c>
      <c r="H97" s="12" t="s">
        <v>410</v>
      </c>
      <c r="I97" s="15" t="s">
        <v>411</v>
      </c>
    </row>
    <row r="98" ht="21.75" customHeight="1">
      <c r="A98" s="48" t="s">
        <v>412</v>
      </c>
      <c r="B98" s="6" t="s">
        <v>413</v>
      </c>
      <c r="C98" s="49" t="s">
        <v>396</v>
      </c>
      <c r="D98" s="6" t="s">
        <v>235</v>
      </c>
      <c r="E98" s="8">
        <v>4.0</v>
      </c>
      <c r="F98" s="16" t="s">
        <v>33</v>
      </c>
      <c r="G98" s="10">
        <v>1.0</v>
      </c>
      <c r="H98" s="6" t="s">
        <v>414</v>
      </c>
      <c r="I98" s="11" t="s">
        <v>415</v>
      </c>
    </row>
    <row r="99" ht="21.75" customHeight="1">
      <c r="A99" s="48" t="s">
        <v>416</v>
      </c>
      <c r="B99" s="12" t="s">
        <v>417</v>
      </c>
      <c r="C99" s="49" t="s">
        <v>396</v>
      </c>
      <c r="D99" s="12" t="s">
        <v>235</v>
      </c>
      <c r="E99" s="13">
        <v>3.0</v>
      </c>
      <c r="F99" s="16" t="s">
        <v>33</v>
      </c>
      <c r="G99" s="14">
        <v>0.4</v>
      </c>
      <c r="H99" s="12" t="s">
        <v>418</v>
      </c>
      <c r="I99" s="15" t="s">
        <v>419</v>
      </c>
    </row>
    <row r="100" ht="21.75" customHeight="1">
      <c r="A100" s="50" t="s">
        <v>420</v>
      </c>
      <c r="B100" s="6" t="s">
        <v>421</v>
      </c>
      <c r="C100" s="51" t="s">
        <v>422</v>
      </c>
      <c r="D100" s="6" t="s">
        <v>423</v>
      </c>
      <c r="E100" s="8">
        <v>24.0</v>
      </c>
      <c r="F100" s="9" t="s">
        <v>14</v>
      </c>
      <c r="G100" s="10" t="s">
        <v>33</v>
      </c>
      <c r="H100" s="6" t="s">
        <v>33</v>
      </c>
      <c r="I100" s="11" t="s">
        <v>424</v>
      </c>
    </row>
    <row r="101" ht="21.75" customHeight="1">
      <c r="A101" s="50" t="s">
        <v>425</v>
      </c>
      <c r="B101" s="12" t="s">
        <v>426</v>
      </c>
      <c r="C101" s="51" t="s">
        <v>422</v>
      </c>
      <c r="D101" s="12" t="s">
        <v>427</v>
      </c>
      <c r="E101" s="13">
        <v>12.0</v>
      </c>
      <c r="F101" s="9" t="s">
        <v>14</v>
      </c>
      <c r="G101" s="14" t="s">
        <v>33</v>
      </c>
      <c r="H101" s="12" t="s">
        <v>33</v>
      </c>
      <c r="I101" s="15" t="s">
        <v>428</v>
      </c>
    </row>
    <row r="102" ht="21.75" customHeight="1">
      <c r="A102" s="50" t="s">
        <v>429</v>
      </c>
      <c r="B102" s="6" t="s">
        <v>430</v>
      </c>
      <c r="C102" s="51" t="s">
        <v>422</v>
      </c>
      <c r="D102" s="6" t="s">
        <v>431</v>
      </c>
      <c r="E102" s="8">
        <v>16.0</v>
      </c>
      <c r="F102" s="9" t="s">
        <v>14</v>
      </c>
      <c r="G102" s="10" t="s">
        <v>33</v>
      </c>
      <c r="H102" s="6" t="s">
        <v>33</v>
      </c>
      <c r="I102" s="11" t="s">
        <v>432</v>
      </c>
    </row>
    <row r="103" ht="21.75" customHeight="1">
      <c r="A103" s="50" t="s">
        <v>433</v>
      </c>
      <c r="B103" s="12" t="s">
        <v>434</v>
      </c>
      <c r="C103" s="51" t="s">
        <v>422</v>
      </c>
      <c r="D103" s="12" t="s">
        <v>435</v>
      </c>
      <c r="E103" s="13">
        <v>20.0</v>
      </c>
      <c r="F103" s="9" t="s">
        <v>14</v>
      </c>
      <c r="G103" s="14" t="s">
        <v>33</v>
      </c>
      <c r="H103" s="12" t="s">
        <v>33</v>
      </c>
      <c r="I103" s="15" t="s">
        <v>436</v>
      </c>
    </row>
    <row r="104" ht="21.75" customHeight="1">
      <c r="A104" s="50" t="s">
        <v>437</v>
      </c>
      <c r="B104" s="6" t="s">
        <v>438</v>
      </c>
      <c r="C104" s="51" t="s">
        <v>422</v>
      </c>
      <c r="D104" s="6" t="s">
        <v>439</v>
      </c>
      <c r="E104" s="8">
        <v>8.0</v>
      </c>
      <c r="F104" s="9" t="s">
        <v>14</v>
      </c>
      <c r="G104" s="10" t="s">
        <v>33</v>
      </c>
      <c r="H104" s="6" t="s">
        <v>33</v>
      </c>
      <c r="I104" s="11" t="s">
        <v>440</v>
      </c>
    </row>
    <row r="105" ht="21.75" customHeight="1">
      <c r="A105" s="50" t="s">
        <v>441</v>
      </c>
      <c r="B105" s="12" t="s">
        <v>442</v>
      </c>
      <c r="C105" s="51" t="s">
        <v>422</v>
      </c>
      <c r="D105" s="12" t="s">
        <v>443</v>
      </c>
      <c r="E105" s="13">
        <v>10.0</v>
      </c>
      <c r="F105" s="9" t="s">
        <v>14</v>
      </c>
      <c r="G105" s="14" t="s">
        <v>33</v>
      </c>
      <c r="H105" s="12" t="s">
        <v>33</v>
      </c>
      <c r="I105" s="15" t="s">
        <v>444</v>
      </c>
    </row>
    <row r="106" ht="21.75" customHeight="1">
      <c r="A106" s="50" t="s">
        <v>445</v>
      </c>
      <c r="B106" s="6" t="s">
        <v>446</v>
      </c>
      <c r="C106" s="51" t="s">
        <v>422</v>
      </c>
      <c r="D106" s="6" t="s">
        <v>447</v>
      </c>
      <c r="E106" s="8">
        <v>8.0</v>
      </c>
      <c r="F106" s="9" t="s">
        <v>14</v>
      </c>
      <c r="G106" s="10" t="s">
        <v>33</v>
      </c>
      <c r="H106" s="6" t="s">
        <v>33</v>
      </c>
      <c r="I106" s="11" t="s">
        <v>448</v>
      </c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38.0"/>
    <col customWidth="1" min="4" max="4" width="22.0"/>
    <col customWidth="1" min="5" max="5" width="38.0"/>
    <col customWidth="1" min="6" max="6" width="18.0"/>
  </cols>
  <sheetData>
    <row r="1" ht="31.5" customHeight="1">
      <c r="A1" s="52" t="s">
        <v>449</v>
      </c>
      <c r="B1" s="2"/>
      <c r="C1" s="2"/>
      <c r="D1" s="2"/>
      <c r="E1" s="2"/>
      <c r="F1" s="2"/>
    </row>
    <row r="2" ht="19.5" customHeight="1">
      <c r="A2" s="3" t="s">
        <v>450</v>
      </c>
      <c r="B2" s="2"/>
      <c r="C2" s="2"/>
      <c r="D2" s="2"/>
      <c r="E2" s="2"/>
      <c r="F2" s="2"/>
    </row>
    <row r="3" ht="30.0" customHeight="1">
      <c r="A3" s="4" t="s">
        <v>451</v>
      </c>
      <c r="B3" s="4" t="s">
        <v>452</v>
      </c>
      <c r="C3" s="4" t="s">
        <v>453</v>
      </c>
      <c r="D3" s="4" t="s">
        <v>454</v>
      </c>
      <c r="E3" s="4" t="s">
        <v>455</v>
      </c>
      <c r="F3" s="4" t="s">
        <v>456</v>
      </c>
    </row>
    <row r="4">
      <c r="A4" s="10" t="s">
        <v>457</v>
      </c>
      <c r="B4" s="10" t="s">
        <v>11</v>
      </c>
      <c r="C4" s="6" t="s">
        <v>12</v>
      </c>
      <c r="D4" s="10" t="s">
        <v>17</v>
      </c>
      <c r="E4" s="6" t="s">
        <v>18</v>
      </c>
      <c r="F4" s="10">
        <v>48.0</v>
      </c>
    </row>
    <row r="5">
      <c r="A5" s="14" t="s">
        <v>458</v>
      </c>
      <c r="B5" s="14" t="s">
        <v>11</v>
      </c>
      <c r="C5" s="12" t="s">
        <v>12</v>
      </c>
      <c r="D5" s="14" t="s">
        <v>21</v>
      </c>
      <c r="E5" s="12" t="s">
        <v>22</v>
      </c>
      <c r="F5" s="14">
        <v>48.0</v>
      </c>
    </row>
    <row r="6">
      <c r="A6" s="10" t="s">
        <v>459</v>
      </c>
      <c r="B6" s="10" t="s">
        <v>17</v>
      </c>
      <c r="C6" s="6" t="s">
        <v>18</v>
      </c>
      <c r="D6" s="10" t="s">
        <v>21</v>
      </c>
      <c r="E6" s="6" t="s">
        <v>22</v>
      </c>
      <c r="F6" s="10">
        <v>24.0</v>
      </c>
    </row>
    <row r="7">
      <c r="A7" s="14" t="s">
        <v>460</v>
      </c>
      <c r="B7" s="14" t="s">
        <v>11</v>
      </c>
      <c r="C7" s="12" t="s">
        <v>12</v>
      </c>
      <c r="D7" s="14" t="s">
        <v>26</v>
      </c>
      <c r="E7" s="12" t="s">
        <v>27</v>
      </c>
      <c r="F7" s="14">
        <v>48.0</v>
      </c>
    </row>
    <row r="8">
      <c r="A8" s="10" t="s">
        <v>461</v>
      </c>
      <c r="B8" s="10" t="s">
        <v>21</v>
      </c>
      <c r="C8" s="6" t="s">
        <v>22</v>
      </c>
      <c r="D8" s="10" t="s">
        <v>26</v>
      </c>
      <c r="E8" s="6" t="s">
        <v>27</v>
      </c>
      <c r="F8" s="10">
        <v>12.0</v>
      </c>
    </row>
    <row r="9">
      <c r="A9" s="14" t="s">
        <v>462</v>
      </c>
      <c r="B9" s="14" t="s">
        <v>26</v>
      </c>
      <c r="C9" s="12" t="s">
        <v>27</v>
      </c>
      <c r="D9" s="14" t="s">
        <v>31</v>
      </c>
      <c r="E9" s="12" t="s">
        <v>32</v>
      </c>
      <c r="F9" s="14">
        <v>16.0</v>
      </c>
    </row>
    <row r="10">
      <c r="A10" s="10" t="s">
        <v>463</v>
      </c>
      <c r="B10" s="10" t="s">
        <v>11</v>
      </c>
      <c r="C10" s="6" t="s">
        <v>12</v>
      </c>
      <c r="D10" s="10" t="s">
        <v>36</v>
      </c>
      <c r="E10" s="6" t="s">
        <v>37</v>
      </c>
      <c r="F10" s="10">
        <v>48.0</v>
      </c>
    </row>
    <row r="11">
      <c r="A11" s="14" t="s">
        <v>464</v>
      </c>
      <c r="B11" s="14" t="s">
        <v>26</v>
      </c>
      <c r="C11" s="12" t="s">
        <v>27</v>
      </c>
      <c r="D11" s="14" t="s">
        <v>36</v>
      </c>
      <c r="E11" s="12" t="s">
        <v>37</v>
      </c>
      <c r="F11" s="14">
        <v>16.0</v>
      </c>
    </row>
    <row r="12">
      <c r="A12" s="10" t="s">
        <v>465</v>
      </c>
      <c r="B12" s="10" t="s">
        <v>36</v>
      </c>
      <c r="C12" s="6" t="s">
        <v>37</v>
      </c>
      <c r="D12" s="10" t="s">
        <v>41</v>
      </c>
      <c r="E12" s="6" t="s">
        <v>42</v>
      </c>
      <c r="F12" s="10">
        <v>36.0</v>
      </c>
    </row>
    <row r="13">
      <c r="A13" s="14" t="s">
        <v>466</v>
      </c>
      <c r="B13" s="14" t="s">
        <v>36</v>
      </c>
      <c r="C13" s="12" t="s">
        <v>37</v>
      </c>
      <c r="D13" s="14" t="s">
        <v>44</v>
      </c>
      <c r="E13" s="12" t="s">
        <v>45</v>
      </c>
      <c r="F13" s="14">
        <v>36.0</v>
      </c>
    </row>
    <row r="14">
      <c r="A14" s="10" t="s">
        <v>467</v>
      </c>
      <c r="B14" s="10" t="s">
        <v>36</v>
      </c>
      <c r="C14" s="6" t="s">
        <v>37</v>
      </c>
      <c r="D14" s="10" t="s">
        <v>48</v>
      </c>
      <c r="E14" s="6" t="s">
        <v>49</v>
      </c>
      <c r="F14" s="10">
        <v>36.0</v>
      </c>
    </row>
    <row r="15">
      <c r="A15" s="14" t="s">
        <v>468</v>
      </c>
      <c r="B15" s="14" t="s">
        <v>41</v>
      </c>
      <c r="C15" s="12" t="s">
        <v>42</v>
      </c>
      <c r="D15" s="14" t="s">
        <v>48</v>
      </c>
      <c r="E15" s="12" t="s">
        <v>49</v>
      </c>
      <c r="F15" s="14">
        <v>8.0</v>
      </c>
    </row>
    <row r="16">
      <c r="A16" s="10" t="s">
        <v>469</v>
      </c>
      <c r="B16" s="10" t="s">
        <v>44</v>
      </c>
      <c r="C16" s="6" t="s">
        <v>45</v>
      </c>
      <c r="D16" s="10" t="s">
        <v>48</v>
      </c>
      <c r="E16" s="6" t="s">
        <v>49</v>
      </c>
      <c r="F16" s="10">
        <v>8.0</v>
      </c>
    </row>
    <row r="17">
      <c r="A17" s="14" t="s">
        <v>470</v>
      </c>
      <c r="B17" s="14" t="s">
        <v>48</v>
      </c>
      <c r="C17" s="12" t="s">
        <v>49</v>
      </c>
      <c r="D17" s="14" t="s">
        <v>53</v>
      </c>
      <c r="E17" s="12" t="s">
        <v>54</v>
      </c>
      <c r="F17" s="14">
        <v>14.0</v>
      </c>
    </row>
    <row r="18">
      <c r="A18" s="10" t="s">
        <v>471</v>
      </c>
      <c r="B18" s="10" t="s">
        <v>11</v>
      </c>
      <c r="C18" s="6" t="s">
        <v>12</v>
      </c>
      <c r="D18" s="10" t="s">
        <v>57</v>
      </c>
      <c r="E18" s="6" t="s">
        <v>58</v>
      </c>
      <c r="F18" s="10">
        <v>48.0</v>
      </c>
    </row>
    <row r="19">
      <c r="A19" s="14" t="s">
        <v>472</v>
      </c>
      <c r="B19" s="14" t="s">
        <v>17</v>
      </c>
      <c r="C19" s="12" t="s">
        <v>18</v>
      </c>
      <c r="D19" s="14" t="s">
        <v>57</v>
      </c>
      <c r="E19" s="12" t="s">
        <v>58</v>
      </c>
      <c r="F19" s="14">
        <v>24.0</v>
      </c>
    </row>
    <row r="20">
      <c r="A20" s="10" t="s">
        <v>473</v>
      </c>
      <c r="B20" s="10" t="s">
        <v>36</v>
      </c>
      <c r="C20" s="6" t="s">
        <v>37</v>
      </c>
      <c r="D20" s="10" t="s">
        <v>61</v>
      </c>
      <c r="E20" s="6" t="s">
        <v>62</v>
      </c>
      <c r="F20" s="10">
        <v>36.0</v>
      </c>
    </row>
    <row r="21" ht="15.75" customHeight="1">
      <c r="A21" s="14" t="s">
        <v>474</v>
      </c>
      <c r="B21" s="14" t="s">
        <v>36</v>
      </c>
      <c r="C21" s="12" t="s">
        <v>37</v>
      </c>
      <c r="D21" s="14" t="s">
        <v>65</v>
      </c>
      <c r="E21" s="12" t="s">
        <v>66</v>
      </c>
      <c r="F21" s="14">
        <v>36.0</v>
      </c>
    </row>
    <row r="22" ht="15.75" customHeight="1">
      <c r="A22" s="10" t="s">
        <v>475</v>
      </c>
      <c r="B22" s="10" t="s">
        <v>61</v>
      </c>
      <c r="C22" s="6" t="s">
        <v>62</v>
      </c>
      <c r="D22" s="10" t="s">
        <v>65</v>
      </c>
      <c r="E22" s="6" t="s">
        <v>66</v>
      </c>
      <c r="F22" s="10">
        <v>8.0</v>
      </c>
    </row>
    <row r="23" ht="15.75" customHeight="1">
      <c r="A23" s="14" t="s">
        <v>476</v>
      </c>
      <c r="B23" s="14" t="s">
        <v>44</v>
      </c>
      <c r="C23" s="12" t="s">
        <v>45</v>
      </c>
      <c r="D23" s="14" t="s">
        <v>70</v>
      </c>
      <c r="E23" s="12" t="s">
        <v>71</v>
      </c>
      <c r="F23" s="14">
        <v>8.0</v>
      </c>
    </row>
    <row r="24" ht="15.75" customHeight="1">
      <c r="A24" s="10" t="s">
        <v>477</v>
      </c>
      <c r="B24" s="10" t="s">
        <v>11</v>
      </c>
      <c r="C24" s="6" t="s">
        <v>12</v>
      </c>
      <c r="D24" s="10" t="s">
        <v>74</v>
      </c>
      <c r="E24" s="6" t="s">
        <v>75</v>
      </c>
      <c r="F24" s="10">
        <v>48.0</v>
      </c>
    </row>
    <row r="25" ht="15.75" customHeight="1">
      <c r="A25" s="14" t="s">
        <v>478</v>
      </c>
      <c r="B25" s="14" t="s">
        <v>17</v>
      </c>
      <c r="C25" s="12" t="s">
        <v>18</v>
      </c>
      <c r="D25" s="14" t="s">
        <v>74</v>
      </c>
      <c r="E25" s="12" t="s">
        <v>75</v>
      </c>
      <c r="F25" s="14">
        <v>24.0</v>
      </c>
    </row>
    <row r="26" ht="15.75" customHeight="1">
      <c r="A26" s="10" t="s">
        <v>479</v>
      </c>
      <c r="B26" s="10" t="s">
        <v>21</v>
      </c>
      <c r="C26" s="6" t="s">
        <v>22</v>
      </c>
      <c r="D26" s="10" t="s">
        <v>74</v>
      </c>
      <c r="E26" s="6" t="s">
        <v>75</v>
      </c>
      <c r="F26" s="10">
        <v>12.0</v>
      </c>
    </row>
    <row r="27" ht="15.75" customHeight="1">
      <c r="A27" s="14" t="s">
        <v>480</v>
      </c>
      <c r="B27" s="14" t="s">
        <v>26</v>
      </c>
      <c r="C27" s="12" t="s">
        <v>27</v>
      </c>
      <c r="D27" s="14" t="s">
        <v>74</v>
      </c>
      <c r="E27" s="12" t="s">
        <v>75</v>
      </c>
      <c r="F27" s="14">
        <v>16.0</v>
      </c>
    </row>
    <row r="28" ht="15.75" customHeight="1">
      <c r="A28" s="10" t="s">
        <v>481</v>
      </c>
      <c r="B28" s="10" t="s">
        <v>31</v>
      </c>
      <c r="C28" s="6" t="s">
        <v>32</v>
      </c>
      <c r="D28" s="10" t="s">
        <v>74</v>
      </c>
      <c r="E28" s="6" t="s">
        <v>75</v>
      </c>
      <c r="F28" s="10">
        <v>4.0</v>
      </c>
    </row>
    <row r="29" ht="15.75" customHeight="1">
      <c r="A29" s="14" t="s">
        <v>482</v>
      </c>
      <c r="B29" s="14" t="s">
        <v>36</v>
      </c>
      <c r="C29" s="12" t="s">
        <v>37</v>
      </c>
      <c r="D29" s="14" t="s">
        <v>74</v>
      </c>
      <c r="E29" s="12" t="s">
        <v>75</v>
      </c>
      <c r="F29" s="14">
        <v>36.0</v>
      </c>
    </row>
    <row r="30" ht="15.75" customHeight="1">
      <c r="A30" s="10" t="s">
        <v>483</v>
      </c>
      <c r="B30" s="10" t="s">
        <v>41</v>
      </c>
      <c r="C30" s="6" t="s">
        <v>42</v>
      </c>
      <c r="D30" s="10" t="s">
        <v>74</v>
      </c>
      <c r="E30" s="6" t="s">
        <v>75</v>
      </c>
      <c r="F30" s="10">
        <v>8.0</v>
      </c>
    </row>
    <row r="31" ht="15.75" customHeight="1">
      <c r="A31" s="14" t="s">
        <v>484</v>
      </c>
      <c r="B31" s="14" t="s">
        <v>44</v>
      </c>
      <c r="C31" s="12" t="s">
        <v>45</v>
      </c>
      <c r="D31" s="14" t="s">
        <v>74</v>
      </c>
      <c r="E31" s="12" t="s">
        <v>75</v>
      </c>
      <c r="F31" s="14">
        <v>8.0</v>
      </c>
    </row>
    <row r="32" ht="15.75" customHeight="1">
      <c r="A32" s="10" t="s">
        <v>485</v>
      </c>
      <c r="B32" s="10" t="s">
        <v>48</v>
      </c>
      <c r="C32" s="6" t="s">
        <v>49</v>
      </c>
      <c r="D32" s="10" t="s">
        <v>74</v>
      </c>
      <c r="E32" s="6" t="s">
        <v>75</v>
      </c>
      <c r="F32" s="10">
        <v>14.0</v>
      </c>
    </row>
    <row r="33" ht="15.75" customHeight="1">
      <c r="A33" s="14" t="s">
        <v>486</v>
      </c>
      <c r="B33" s="14" t="s">
        <v>53</v>
      </c>
      <c r="C33" s="12" t="s">
        <v>54</v>
      </c>
      <c r="D33" s="14" t="s">
        <v>74</v>
      </c>
      <c r="E33" s="12" t="s">
        <v>75</v>
      </c>
      <c r="F33" s="14">
        <v>6.0</v>
      </c>
    </row>
    <row r="34" ht="15.75" customHeight="1">
      <c r="A34" s="10" t="s">
        <v>487</v>
      </c>
      <c r="B34" s="10" t="s">
        <v>57</v>
      </c>
      <c r="C34" s="6" t="s">
        <v>58</v>
      </c>
      <c r="D34" s="10" t="s">
        <v>74</v>
      </c>
      <c r="E34" s="6" t="s">
        <v>75</v>
      </c>
      <c r="F34" s="10">
        <v>10.0</v>
      </c>
    </row>
    <row r="35" ht="15.75" customHeight="1">
      <c r="A35" s="14" t="s">
        <v>488</v>
      </c>
      <c r="B35" s="14" t="s">
        <v>61</v>
      </c>
      <c r="C35" s="12" t="s">
        <v>62</v>
      </c>
      <c r="D35" s="14" t="s">
        <v>74</v>
      </c>
      <c r="E35" s="12" t="s">
        <v>75</v>
      </c>
      <c r="F35" s="14">
        <v>8.0</v>
      </c>
    </row>
    <row r="36" ht="15.75" customHeight="1">
      <c r="A36" s="10" t="s">
        <v>489</v>
      </c>
      <c r="B36" s="10" t="s">
        <v>65</v>
      </c>
      <c r="C36" s="6" t="s">
        <v>66</v>
      </c>
      <c r="D36" s="10" t="s">
        <v>74</v>
      </c>
      <c r="E36" s="6" t="s">
        <v>75</v>
      </c>
      <c r="F36" s="10">
        <v>4.0</v>
      </c>
    </row>
    <row r="37" ht="15.75" customHeight="1">
      <c r="A37" s="14" t="s">
        <v>490</v>
      </c>
      <c r="B37" s="14" t="s">
        <v>70</v>
      </c>
      <c r="C37" s="12" t="s">
        <v>71</v>
      </c>
      <c r="D37" s="14" t="s">
        <v>74</v>
      </c>
      <c r="E37" s="12" t="s">
        <v>75</v>
      </c>
      <c r="F37" s="14">
        <v>20.0</v>
      </c>
    </row>
    <row r="38" ht="15.75" customHeight="1">
      <c r="A38" s="10" t="s">
        <v>491</v>
      </c>
      <c r="B38" s="10" t="s">
        <v>70</v>
      </c>
      <c r="C38" s="6" t="s">
        <v>71</v>
      </c>
      <c r="D38" s="10" t="s">
        <v>78</v>
      </c>
      <c r="E38" s="6" t="s">
        <v>79</v>
      </c>
      <c r="F38" s="10">
        <v>20.0</v>
      </c>
    </row>
    <row r="39" ht="15.75" customHeight="1">
      <c r="A39" s="14" t="s">
        <v>492</v>
      </c>
      <c r="B39" s="14" t="s">
        <v>78</v>
      </c>
      <c r="C39" s="12" t="s">
        <v>79</v>
      </c>
      <c r="D39" s="14" t="s">
        <v>83</v>
      </c>
      <c r="E39" s="12" t="s">
        <v>84</v>
      </c>
      <c r="F39" s="14">
        <v>20.0</v>
      </c>
    </row>
    <row r="40" ht="15.75" customHeight="1">
      <c r="A40" s="10" t="s">
        <v>493</v>
      </c>
      <c r="B40" s="10" t="s">
        <v>87</v>
      </c>
      <c r="C40" s="6" t="s">
        <v>88</v>
      </c>
      <c r="D40" s="10" t="s">
        <v>90</v>
      </c>
      <c r="E40" s="6" t="s">
        <v>91</v>
      </c>
      <c r="F40" s="10">
        <v>18.0</v>
      </c>
    </row>
    <row r="41" ht="15.75" customHeight="1">
      <c r="A41" s="14" t="s">
        <v>494</v>
      </c>
      <c r="B41" s="14" t="s">
        <v>83</v>
      </c>
      <c r="C41" s="12" t="s">
        <v>84</v>
      </c>
      <c r="D41" s="14" t="s">
        <v>93</v>
      </c>
      <c r="E41" s="12" t="s">
        <v>94</v>
      </c>
      <c r="F41" s="14">
        <v>16.0</v>
      </c>
    </row>
    <row r="42" ht="15.75" customHeight="1">
      <c r="A42" s="10" t="s">
        <v>495</v>
      </c>
      <c r="B42" s="10" t="s">
        <v>90</v>
      </c>
      <c r="C42" s="6" t="s">
        <v>91</v>
      </c>
      <c r="D42" s="10" t="s">
        <v>93</v>
      </c>
      <c r="E42" s="6" t="s">
        <v>94</v>
      </c>
      <c r="F42" s="10">
        <v>14.0</v>
      </c>
    </row>
    <row r="43" ht="15.75" customHeight="1">
      <c r="A43" s="14" t="s">
        <v>496</v>
      </c>
      <c r="B43" s="14" t="s">
        <v>93</v>
      </c>
      <c r="C43" s="12" t="s">
        <v>94</v>
      </c>
      <c r="D43" s="14" t="s">
        <v>98</v>
      </c>
      <c r="E43" s="12" t="s">
        <v>99</v>
      </c>
      <c r="F43" s="14">
        <v>10.0</v>
      </c>
    </row>
    <row r="44" ht="15.75" customHeight="1">
      <c r="A44" s="10" t="s">
        <v>497</v>
      </c>
      <c r="B44" s="10" t="s">
        <v>90</v>
      </c>
      <c r="C44" s="6" t="s">
        <v>91</v>
      </c>
      <c r="D44" s="10" t="s">
        <v>102</v>
      </c>
      <c r="E44" s="6" t="s">
        <v>103</v>
      </c>
      <c r="F44" s="10">
        <v>14.0</v>
      </c>
    </row>
    <row r="45" ht="15.75" customHeight="1">
      <c r="A45" s="14" t="s">
        <v>498</v>
      </c>
      <c r="B45" s="14" t="s">
        <v>87</v>
      </c>
      <c r="C45" s="12" t="s">
        <v>88</v>
      </c>
      <c r="D45" s="14" t="s">
        <v>102</v>
      </c>
      <c r="E45" s="12" t="s">
        <v>103</v>
      </c>
      <c r="F45" s="14">
        <v>18.0</v>
      </c>
    </row>
    <row r="46" ht="15.75" customHeight="1">
      <c r="A46" s="10" t="s">
        <v>499</v>
      </c>
      <c r="B46" s="10" t="s">
        <v>78</v>
      </c>
      <c r="C46" s="6" t="s">
        <v>79</v>
      </c>
      <c r="D46" s="10" t="s">
        <v>107</v>
      </c>
      <c r="E46" s="6" t="s">
        <v>108</v>
      </c>
      <c r="F46" s="10">
        <v>20.0</v>
      </c>
    </row>
    <row r="47" ht="15.75" customHeight="1">
      <c r="A47" s="14" t="s">
        <v>500</v>
      </c>
      <c r="B47" s="14" t="s">
        <v>78</v>
      </c>
      <c r="C47" s="12" t="s">
        <v>79</v>
      </c>
      <c r="D47" s="14" t="s">
        <v>111</v>
      </c>
      <c r="E47" s="12" t="s">
        <v>112</v>
      </c>
      <c r="F47" s="14">
        <v>20.0</v>
      </c>
    </row>
    <row r="48" ht="15.75" customHeight="1">
      <c r="A48" s="10" t="s">
        <v>501</v>
      </c>
      <c r="B48" s="10" t="s">
        <v>83</v>
      </c>
      <c r="C48" s="6" t="s">
        <v>84</v>
      </c>
      <c r="D48" s="10" t="s">
        <v>111</v>
      </c>
      <c r="E48" s="6" t="s">
        <v>112</v>
      </c>
      <c r="F48" s="10">
        <v>16.0</v>
      </c>
    </row>
    <row r="49" ht="15.75" customHeight="1">
      <c r="A49" s="14" t="s">
        <v>502</v>
      </c>
      <c r="B49" s="14" t="s">
        <v>87</v>
      </c>
      <c r="C49" s="12" t="s">
        <v>88</v>
      </c>
      <c r="D49" s="14" t="s">
        <v>111</v>
      </c>
      <c r="E49" s="12" t="s">
        <v>112</v>
      </c>
      <c r="F49" s="14">
        <v>18.0</v>
      </c>
    </row>
    <row r="50" ht="15.75" customHeight="1">
      <c r="A50" s="10" t="s">
        <v>503</v>
      </c>
      <c r="B50" s="10" t="s">
        <v>90</v>
      </c>
      <c r="C50" s="6" t="s">
        <v>91</v>
      </c>
      <c r="D50" s="10" t="s">
        <v>111</v>
      </c>
      <c r="E50" s="6" t="s">
        <v>112</v>
      </c>
      <c r="F50" s="10">
        <v>14.0</v>
      </c>
    </row>
    <row r="51" ht="15.75" customHeight="1">
      <c r="A51" s="14" t="s">
        <v>504</v>
      </c>
      <c r="B51" s="14" t="s">
        <v>93</v>
      </c>
      <c r="C51" s="12" t="s">
        <v>94</v>
      </c>
      <c r="D51" s="14" t="s">
        <v>111</v>
      </c>
      <c r="E51" s="12" t="s">
        <v>112</v>
      </c>
      <c r="F51" s="14">
        <v>10.0</v>
      </c>
    </row>
    <row r="52" ht="15.75" customHeight="1">
      <c r="A52" s="10" t="s">
        <v>505</v>
      </c>
      <c r="B52" s="10" t="s">
        <v>98</v>
      </c>
      <c r="C52" s="6" t="s">
        <v>99</v>
      </c>
      <c r="D52" s="10" t="s">
        <v>111</v>
      </c>
      <c r="E52" s="6" t="s">
        <v>112</v>
      </c>
      <c r="F52" s="10">
        <v>8.0</v>
      </c>
    </row>
    <row r="53" ht="15.75" customHeight="1">
      <c r="A53" s="14" t="s">
        <v>506</v>
      </c>
      <c r="B53" s="14" t="s">
        <v>102</v>
      </c>
      <c r="C53" s="12" t="s">
        <v>103</v>
      </c>
      <c r="D53" s="14" t="s">
        <v>111</v>
      </c>
      <c r="E53" s="12" t="s">
        <v>112</v>
      </c>
      <c r="F53" s="14">
        <v>12.0</v>
      </c>
    </row>
    <row r="54" ht="15.75" customHeight="1">
      <c r="A54" s="10" t="s">
        <v>507</v>
      </c>
      <c r="B54" s="10" t="s">
        <v>107</v>
      </c>
      <c r="C54" s="6" t="s">
        <v>108</v>
      </c>
      <c r="D54" s="10" t="s">
        <v>111</v>
      </c>
      <c r="E54" s="6" t="s">
        <v>112</v>
      </c>
      <c r="F54" s="10">
        <v>4.0</v>
      </c>
    </row>
    <row r="55" ht="15.75" customHeight="1">
      <c r="A55" s="14" t="s">
        <v>508</v>
      </c>
      <c r="B55" s="14" t="s">
        <v>115</v>
      </c>
      <c r="C55" s="12" t="s">
        <v>116</v>
      </c>
      <c r="D55" s="14" t="s">
        <v>120</v>
      </c>
      <c r="E55" s="12" t="s">
        <v>121</v>
      </c>
      <c r="F55" s="14">
        <v>20.0</v>
      </c>
    </row>
    <row r="56" ht="15.75" customHeight="1">
      <c r="A56" s="10" t="s">
        <v>509</v>
      </c>
      <c r="B56" s="10" t="s">
        <v>115</v>
      </c>
      <c r="C56" s="6" t="s">
        <v>116</v>
      </c>
      <c r="D56" s="10" t="s">
        <v>124</v>
      </c>
      <c r="E56" s="6" t="s">
        <v>125</v>
      </c>
      <c r="F56" s="10">
        <v>20.0</v>
      </c>
    </row>
    <row r="57" ht="15.75" customHeight="1">
      <c r="A57" s="14" t="s">
        <v>510</v>
      </c>
      <c r="B57" s="14" t="s">
        <v>120</v>
      </c>
      <c r="C57" s="12" t="s">
        <v>121</v>
      </c>
      <c r="D57" s="14" t="s">
        <v>124</v>
      </c>
      <c r="E57" s="12" t="s">
        <v>125</v>
      </c>
      <c r="F57" s="14">
        <v>16.0</v>
      </c>
    </row>
    <row r="58" ht="15.75" customHeight="1">
      <c r="A58" s="10" t="s">
        <v>511</v>
      </c>
      <c r="B58" s="10" t="s">
        <v>124</v>
      </c>
      <c r="C58" s="6" t="s">
        <v>125</v>
      </c>
      <c r="D58" s="10" t="s">
        <v>128</v>
      </c>
      <c r="E58" s="6" t="s">
        <v>129</v>
      </c>
      <c r="F58" s="10">
        <v>14.0</v>
      </c>
    </row>
    <row r="59" ht="15.75" customHeight="1">
      <c r="A59" s="14" t="s">
        <v>512</v>
      </c>
      <c r="B59" s="14" t="s">
        <v>111</v>
      </c>
      <c r="C59" s="12" t="s">
        <v>112</v>
      </c>
      <c r="D59" s="14" t="s">
        <v>132</v>
      </c>
      <c r="E59" s="12" t="s">
        <v>133</v>
      </c>
      <c r="F59" s="14">
        <v>12.0</v>
      </c>
    </row>
    <row r="60" ht="15.75" customHeight="1">
      <c r="A60" s="10" t="s">
        <v>513</v>
      </c>
      <c r="B60" s="10" t="s">
        <v>115</v>
      </c>
      <c r="C60" s="6" t="s">
        <v>116</v>
      </c>
      <c r="D60" s="10" t="s">
        <v>132</v>
      </c>
      <c r="E60" s="6" t="s">
        <v>133</v>
      </c>
      <c r="F60" s="10">
        <v>20.0</v>
      </c>
    </row>
    <row r="61" ht="15.75" customHeight="1">
      <c r="A61" s="14" t="s">
        <v>514</v>
      </c>
      <c r="B61" s="14" t="s">
        <v>120</v>
      </c>
      <c r="C61" s="12" t="s">
        <v>121</v>
      </c>
      <c r="D61" s="14" t="s">
        <v>132</v>
      </c>
      <c r="E61" s="12" t="s">
        <v>133</v>
      </c>
      <c r="F61" s="14">
        <v>16.0</v>
      </c>
    </row>
    <row r="62" ht="15.75" customHeight="1">
      <c r="A62" s="10" t="s">
        <v>515</v>
      </c>
      <c r="B62" s="10" t="s">
        <v>124</v>
      </c>
      <c r="C62" s="6" t="s">
        <v>125</v>
      </c>
      <c r="D62" s="10" t="s">
        <v>132</v>
      </c>
      <c r="E62" s="6" t="s">
        <v>133</v>
      </c>
      <c r="F62" s="10">
        <v>14.0</v>
      </c>
    </row>
    <row r="63" ht="15.75" customHeight="1">
      <c r="A63" s="14" t="s">
        <v>516</v>
      </c>
      <c r="B63" s="14" t="s">
        <v>128</v>
      </c>
      <c r="C63" s="12" t="s">
        <v>129</v>
      </c>
      <c r="D63" s="14" t="s">
        <v>132</v>
      </c>
      <c r="E63" s="12" t="s">
        <v>133</v>
      </c>
      <c r="F63" s="14">
        <v>8.0</v>
      </c>
    </row>
    <row r="64" ht="15.75" customHeight="1">
      <c r="A64" s="10" t="s">
        <v>517</v>
      </c>
      <c r="B64" s="10" t="s">
        <v>136</v>
      </c>
      <c r="C64" s="6" t="s">
        <v>137</v>
      </c>
      <c r="D64" s="10" t="s">
        <v>140</v>
      </c>
      <c r="E64" s="6" t="s">
        <v>141</v>
      </c>
      <c r="F64" s="10">
        <v>18.0</v>
      </c>
    </row>
    <row r="65" ht="15.75" customHeight="1">
      <c r="A65" s="14" t="s">
        <v>518</v>
      </c>
      <c r="B65" s="14" t="s">
        <v>136</v>
      </c>
      <c r="C65" s="12" t="s">
        <v>137</v>
      </c>
      <c r="D65" s="14" t="s">
        <v>144</v>
      </c>
      <c r="E65" s="12" t="s">
        <v>145</v>
      </c>
      <c r="F65" s="14">
        <v>18.0</v>
      </c>
    </row>
    <row r="66" ht="15.75" customHeight="1">
      <c r="A66" s="10" t="s">
        <v>519</v>
      </c>
      <c r="B66" s="10" t="s">
        <v>140</v>
      </c>
      <c r="C66" s="6" t="s">
        <v>141</v>
      </c>
      <c r="D66" s="10" t="s">
        <v>144</v>
      </c>
      <c r="E66" s="6" t="s">
        <v>145</v>
      </c>
      <c r="F66" s="10">
        <v>14.0</v>
      </c>
    </row>
    <row r="67" ht="15.75" customHeight="1">
      <c r="A67" s="14" t="s">
        <v>520</v>
      </c>
      <c r="B67" s="14" t="s">
        <v>17</v>
      </c>
      <c r="C67" s="12" t="s">
        <v>18</v>
      </c>
      <c r="D67" s="14" t="s">
        <v>144</v>
      </c>
      <c r="E67" s="12" t="s">
        <v>145</v>
      </c>
      <c r="F67" s="14">
        <v>24.0</v>
      </c>
    </row>
    <row r="68" ht="15.75" customHeight="1">
      <c r="A68" s="10" t="s">
        <v>521</v>
      </c>
      <c r="B68" s="10" t="s">
        <v>136</v>
      </c>
      <c r="C68" s="6" t="s">
        <v>137</v>
      </c>
      <c r="D68" s="10" t="s">
        <v>149</v>
      </c>
      <c r="E68" s="6" t="s">
        <v>150</v>
      </c>
      <c r="F68" s="10">
        <v>18.0</v>
      </c>
    </row>
    <row r="69" ht="15.75" customHeight="1">
      <c r="A69" s="14" t="s">
        <v>522</v>
      </c>
      <c r="B69" s="14" t="s">
        <v>140</v>
      </c>
      <c r="C69" s="12" t="s">
        <v>141</v>
      </c>
      <c r="D69" s="14" t="s">
        <v>149</v>
      </c>
      <c r="E69" s="12" t="s">
        <v>150</v>
      </c>
      <c r="F69" s="14">
        <v>14.0</v>
      </c>
    </row>
    <row r="70" ht="15.75" customHeight="1">
      <c r="A70" s="10" t="s">
        <v>523</v>
      </c>
      <c r="B70" s="10" t="s">
        <v>136</v>
      </c>
      <c r="C70" s="6" t="s">
        <v>137</v>
      </c>
      <c r="D70" s="10" t="s">
        <v>154</v>
      </c>
      <c r="E70" s="6" t="s">
        <v>155</v>
      </c>
      <c r="F70" s="10">
        <v>18.0</v>
      </c>
    </row>
    <row r="71" ht="15.75" customHeight="1">
      <c r="A71" s="14" t="s">
        <v>524</v>
      </c>
      <c r="B71" s="14" t="s">
        <v>140</v>
      </c>
      <c r="C71" s="12" t="s">
        <v>141</v>
      </c>
      <c r="D71" s="14" t="s">
        <v>154</v>
      </c>
      <c r="E71" s="12" t="s">
        <v>155</v>
      </c>
      <c r="F71" s="14">
        <v>14.0</v>
      </c>
    </row>
    <row r="72" ht="15.75" customHeight="1">
      <c r="A72" s="10" t="s">
        <v>525</v>
      </c>
      <c r="B72" s="10" t="s">
        <v>144</v>
      </c>
      <c r="C72" s="6" t="s">
        <v>145</v>
      </c>
      <c r="D72" s="10" t="s">
        <v>154</v>
      </c>
      <c r="E72" s="6" t="s">
        <v>155</v>
      </c>
      <c r="F72" s="10">
        <v>10.0</v>
      </c>
    </row>
    <row r="73" ht="15.75" customHeight="1">
      <c r="A73" s="14" t="s">
        <v>526</v>
      </c>
      <c r="B73" s="14" t="s">
        <v>149</v>
      </c>
      <c r="C73" s="12" t="s">
        <v>150</v>
      </c>
      <c r="D73" s="14" t="s">
        <v>154</v>
      </c>
      <c r="E73" s="12" t="s">
        <v>155</v>
      </c>
      <c r="F73" s="14">
        <v>8.0</v>
      </c>
    </row>
    <row r="74" ht="15.75" customHeight="1">
      <c r="A74" s="10" t="s">
        <v>527</v>
      </c>
      <c r="B74" s="10" t="s">
        <v>158</v>
      </c>
      <c r="C74" s="6" t="s">
        <v>159</v>
      </c>
      <c r="D74" s="10" t="s">
        <v>163</v>
      </c>
      <c r="E74" s="6" t="s">
        <v>164</v>
      </c>
      <c r="F74" s="10">
        <v>20.0</v>
      </c>
    </row>
    <row r="75" ht="15.75" customHeight="1">
      <c r="A75" s="14" t="s">
        <v>528</v>
      </c>
      <c r="B75" s="14" t="s">
        <v>158</v>
      </c>
      <c r="C75" s="12" t="s">
        <v>159</v>
      </c>
      <c r="D75" s="14" t="s">
        <v>167</v>
      </c>
      <c r="E75" s="12" t="s">
        <v>168</v>
      </c>
      <c r="F75" s="14">
        <v>20.0</v>
      </c>
    </row>
    <row r="76" ht="15.75" customHeight="1">
      <c r="A76" s="10" t="s">
        <v>529</v>
      </c>
      <c r="B76" s="10" t="s">
        <v>163</v>
      </c>
      <c r="C76" s="6" t="s">
        <v>164</v>
      </c>
      <c r="D76" s="10" t="s">
        <v>167</v>
      </c>
      <c r="E76" s="6" t="s">
        <v>168</v>
      </c>
      <c r="F76" s="10">
        <v>12.0</v>
      </c>
    </row>
    <row r="77" ht="15.75" customHeight="1">
      <c r="A77" s="14" t="s">
        <v>530</v>
      </c>
      <c r="B77" s="14" t="s">
        <v>132</v>
      </c>
      <c r="C77" s="12" t="s">
        <v>133</v>
      </c>
      <c r="D77" s="14" t="s">
        <v>172</v>
      </c>
      <c r="E77" s="12" t="s">
        <v>173</v>
      </c>
      <c r="F77" s="14">
        <v>10.0</v>
      </c>
    </row>
    <row r="78" ht="15.75" customHeight="1">
      <c r="A78" s="10" t="s">
        <v>531</v>
      </c>
      <c r="B78" s="10" t="s">
        <v>154</v>
      </c>
      <c r="C78" s="6" t="s">
        <v>155</v>
      </c>
      <c r="D78" s="10" t="s">
        <v>172</v>
      </c>
      <c r="E78" s="6" t="s">
        <v>173</v>
      </c>
      <c r="F78" s="10">
        <v>8.0</v>
      </c>
    </row>
    <row r="79" ht="15.75" customHeight="1">
      <c r="A79" s="14" t="s">
        <v>532</v>
      </c>
      <c r="B79" s="14" t="s">
        <v>158</v>
      </c>
      <c r="C79" s="12" t="s">
        <v>159</v>
      </c>
      <c r="D79" s="14" t="s">
        <v>172</v>
      </c>
      <c r="E79" s="12" t="s">
        <v>173</v>
      </c>
      <c r="F79" s="14">
        <v>20.0</v>
      </c>
    </row>
    <row r="80" ht="15.75" customHeight="1">
      <c r="A80" s="10" t="s">
        <v>533</v>
      </c>
      <c r="B80" s="10" t="s">
        <v>163</v>
      </c>
      <c r="C80" s="6" t="s">
        <v>164</v>
      </c>
      <c r="D80" s="10" t="s">
        <v>172</v>
      </c>
      <c r="E80" s="6" t="s">
        <v>173</v>
      </c>
      <c r="F80" s="10">
        <v>12.0</v>
      </c>
    </row>
    <row r="81" ht="15.75" customHeight="1">
      <c r="A81" s="14" t="s">
        <v>534</v>
      </c>
      <c r="B81" s="14" t="s">
        <v>167</v>
      </c>
      <c r="C81" s="12" t="s">
        <v>168</v>
      </c>
      <c r="D81" s="14" t="s">
        <v>172</v>
      </c>
      <c r="E81" s="12" t="s">
        <v>173</v>
      </c>
      <c r="F81" s="14">
        <v>10.0</v>
      </c>
    </row>
    <row r="82" ht="15.75" customHeight="1">
      <c r="A82" s="10" t="s">
        <v>535</v>
      </c>
      <c r="B82" s="10" t="s">
        <v>177</v>
      </c>
      <c r="C82" s="6" t="s">
        <v>178</v>
      </c>
      <c r="D82" s="10" t="s">
        <v>182</v>
      </c>
      <c r="E82" s="6" t="s">
        <v>183</v>
      </c>
      <c r="F82" s="10">
        <v>6.0</v>
      </c>
    </row>
    <row r="83" ht="15.75" customHeight="1">
      <c r="A83" s="14" t="s">
        <v>536</v>
      </c>
      <c r="B83" s="14" t="s">
        <v>177</v>
      </c>
      <c r="C83" s="12" t="s">
        <v>178</v>
      </c>
      <c r="D83" s="14" t="s">
        <v>186</v>
      </c>
      <c r="E83" s="12" t="s">
        <v>187</v>
      </c>
      <c r="F83" s="14">
        <v>6.0</v>
      </c>
    </row>
    <row r="84" ht="15.75" customHeight="1">
      <c r="A84" s="10" t="s">
        <v>537</v>
      </c>
      <c r="B84" s="10" t="s">
        <v>182</v>
      </c>
      <c r="C84" s="6" t="s">
        <v>183</v>
      </c>
      <c r="D84" s="10" t="s">
        <v>186</v>
      </c>
      <c r="E84" s="6" t="s">
        <v>187</v>
      </c>
      <c r="F84" s="10">
        <v>8.0</v>
      </c>
    </row>
    <row r="85" ht="15.75" customHeight="1">
      <c r="A85" s="14" t="s">
        <v>538</v>
      </c>
      <c r="B85" s="14" t="s">
        <v>182</v>
      </c>
      <c r="C85" s="12" t="s">
        <v>183</v>
      </c>
      <c r="D85" s="14" t="s">
        <v>190</v>
      </c>
      <c r="E85" s="12" t="s">
        <v>191</v>
      </c>
      <c r="F85" s="14">
        <v>8.0</v>
      </c>
    </row>
    <row r="86" ht="15.75" customHeight="1">
      <c r="A86" s="10" t="s">
        <v>539</v>
      </c>
      <c r="B86" s="10" t="s">
        <v>193</v>
      </c>
      <c r="C86" s="6" t="s">
        <v>194</v>
      </c>
      <c r="D86" s="10" t="s">
        <v>198</v>
      </c>
      <c r="E86" s="6" t="s">
        <v>199</v>
      </c>
      <c r="F86" s="10">
        <v>6.0</v>
      </c>
    </row>
    <row r="87" ht="15.75" customHeight="1">
      <c r="A87" s="14" t="s">
        <v>540</v>
      </c>
      <c r="B87" s="14" t="s">
        <v>193</v>
      </c>
      <c r="C87" s="12" t="s">
        <v>194</v>
      </c>
      <c r="D87" s="14" t="s">
        <v>202</v>
      </c>
      <c r="E87" s="12" t="s">
        <v>203</v>
      </c>
      <c r="F87" s="14">
        <v>6.0</v>
      </c>
    </row>
    <row r="88" ht="15.75" customHeight="1">
      <c r="A88" s="10" t="s">
        <v>541</v>
      </c>
      <c r="B88" s="10" t="s">
        <v>198</v>
      </c>
      <c r="C88" s="6" t="s">
        <v>199</v>
      </c>
      <c r="D88" s="10" t="s">
        <v>202</v>
      </c>
      <c r="E88" s="6" t="s">
        <v>203</v>
      </c>
      <c r="F88" s="10">
        <v>10.0</v>
      </c>
    </row>
    <row r="89" ht="15.75" customHeight="1">
      <c r="A89" s="14" t="s">
        <v>542</v>
      </c>
      <c r="B89" s="14" t="s">
        <v>207</v>
      </c>
      <c r="C89" s="12" t="s">
        <v>208</v>
      </c>
      <c r="D89" s="14" t="s">
        <v>212</v>
      </c>
      <c r="E89" s="12" t="s">
        <v>213</v>
      </c>
      <c r="F89" s="14">
        <v>12.0</v>
      </c>
    </row>
    <row r="90" ht="15.75" customHeight="1">
      <c r="A90" s="10" t="s">
        <v>543</v>
      </c>
      <c r="B90" s="10" t="s">
        <v>207</v>
      </c>
      <c r="C90" s="6" t="s">
        <v>208</v>
      </c>
      <c r="D90" s="10" t="s">
        <v>216</v>
      </c>
      <c r="E90" s="6" t="s">
        <v>217</v>
      </c>
      <c r="F90" s="10">
        <v>12.0</v>
      </c>
    </row>
    <row r="91" ht="15.75" customHeight="1">
      <c r="A91" s="14" t="s">
        <v>544</v>
      </c>
      <c r="B91" s="14" t="s">
        <v>212</v>
      </c>
      <c r="C91" s="12" t="s">
        <v>213</v>
      </c>
      <c r="D91" s="14" t="s">
        <v>216</v>
      </c>
      <c r="E91" s="12" t="s">
        <v>217</v>
      </c>
      <c r="F91" s="14">
        <v>6.0</v>
      </c>
    </row>
    <row r="92" ht="15.75" customHeight="1">
      <c r="A92" s="10" t="s">
        <v>545</v>
      </c>
      <c r="B92" s="10" t="s">
        <v>221</v>
      </c>
      <c r="C92" s="6" t="s">
        <v>222</v>
      </c>
      <c r="D92" s="10" t="s">
        <v>226</v>
      </c>
      <c r="E92" s="6" t="s">
        <v>227</v>
      </c>
      <c r="F92" s="10">
        <v>8.0</v>
      </c>
    </row>
    <row r="93" ht="15.75" customHeight="1">
      <c r="A93" s="14" t="s">
        <v>546</v>
      </c>
      <c r="B93" s="14" t="s">
        <v>221</v>
      </c>
      <c r="C93" s="12" t="s">
        <v>222</v>
      </c>
      <c r="D93" s="14" t="s">
        <v>230</v>
      </c>
      <c r="E93" s="12" t="s">
        <v>231</v>
      </c>
      <c r="F93" s="14">
        <v>8.0</v>
      </c>
    </row>
    <row r="94" ht="15.75" customHeight="1">
      <c r="A94" s="10" t="s">
        <v>547</v>
      </c>
      <c r="B94" s="10" t="s">
        <v>226</v>
      </c>
      <c r="C94" s="6" t="s">
        <v>227</v>
      </c>
      <c r="D94" s="10" t="s">
        <v>230</v>
      </c>
      <c r="E94" s="6" t="s">
        <v>231</v>
      </c>
      <c r="F94" s="10">
        <v>16.0</v>
      </c>
    </row>
    <row r="95" ht="15.75" customHeight="1">
      <c r="A95" s="14" t="s">
        <v>548</v>
      </c>
      <c r="B95" s="14" t="s">
        <v>235</v>
      </c>
      <c r="C95" s="12" t="s">
        <v>236</v>
      </c>
      <c r="D95" s="14" t="s">
        <v>240</v>
      </c>
      <c r="E95" s="12" t="s">
        <v>241</v>
      </c>
      <c r="F95" s="14">
        <v>96.0</v>
      </c>
    </row>
    <row r="96" ht="15.75" customHeight="1">
      <c r="A96" s="10" t="s">
        <v>549</v>
      </c>
      <c r="B96" s="10" t="s">
        <v>235</v>
      </c>
      <c r="C96" s="6" t="s">
        <v>236</v>
      </c>
      <c r="D96" s="10" t="s">
        <v>244</v>
      </c>
      <c r="E96" s="6" t="s">
        <v>245</v>
      </c>
      <c r="F96" s="10">
        <v>96.0</v>
      </c>
    </row>
    <row r="97" ht="15.75" customHeight="1">
      <c r="A97" s="14" t="s">
        <v>550</v>
      </c>
      <c r="B97" s="14" t="s">
        <v>235</v>
      </c>
      <c r="C97" s="12" t="s">
        <v>236</v>
      </c>
      <c r="D97" s="14" t="s">
        <v>248</v>
      </c>
      <c r="E97" s="12" t="s">
        <v>249</v>
      </c>
      <c r="F97" s="14">
        <v>96.0</v>
      </c>
    </row>
    <row r="98" ht="15.75" customHeight="1">
      <c r="A98" s="10" t="s">
        <v>551</v>
      </c>
      <c r="B98" s="10" t="s">
        <v>74</v>
      </c>
      <c r="C98" s="6" t="s">
        <v>75</v>
      </c>
      <c r="D98" s="10" t="s">
        <v>248</v>
      </c>
      <c r="E98" s="6" t="s">
        <v>249</v>
      </c>
      <c r="F98" s="10">
        <v>36.0</v>
      </c>
    </row>
    <row r="99" ht="15.75" customHeight="1">
      <c r="A99" s="14" t="s">
        <v>552</v>
      </c>
      <c r="B99" s="14" t="s">
        <v>235</v>
      </c>
      <c r="C99" s="12" t="s">
        <v>236</v>
      </c>
      <c r="D99" s="14" t="s">
        <v>253</v>
      </c>
      <c r="E99" s="12" t="s">
        <v>254</v>
      </c>
      <c r="F99" s="14">
        <v>96.0</v>
      </c>
    </row>
    <row r="100" ht="15.75" customHeight="1">
      <c r="A100" s="10" t="s">
        <v>553</v>
      </c>
      <c r="B100" s="10" t="s">
        <v>235</v>
      </c>
      <c r="C100" s="6" t="s">
        <v>236</v>
      </c>
      <c r="D100" s="10" t="s">
        <v>258</v>
      </c>
      <c r="E100" s="6" t="s">
        <v>259</v>
      </c>
      <c r="F100" s="10">
        <v>96.0</v>
      </c>
    </row>
    <row r="101" ht="15.75" customHeight="1">
      <c r="A101" s="14" t="s">
        <v>554</v>
      </c>
      <c r="B101" s="14" t="s">
        <v>253</v>
      </c>
      <c r="C101" s="12" t="s">
        <v>254</v>
      </c>
      <c r="D101" s="14" t="s">
        <v>261</v>
      </c>
      <c r="E101" s="12" t="s">
        <v>262</v>
      </c>
      <c r="F101" s="14">
        <v>12.0</v>
      </c>
    </row>
    <row r="102" ht="15.75" customHeight="1">
      <c r="A102" s="10" t="s">
        <v>555</v>
      </c>
      <c r="B102" s="10" t="s">
        <v>258</v>
      </c>
      <c r="C102" s="6" t="s">
        <v>259</v>
      </c>
      <c r="D102" s="10" t="s">
        <v>261</v>
      </c>
      <c r="E102" s="6" t="s">
        <v>262</v>
      </c>
      <c r="F102" s="10">
        <v>12.0</v>
      </c>
    </row>
    <row r="103" ht="15.75" customHeight="1">
      <c r="A103" s="14" t="s">
        <v>556</v>
      </c>
      <c r="B103" s="14" t="s">
        <v>261</v>
      </c>
      <c r="C103" s="12" t="s">
        <v>262</v>
      </c>
      <c r="D103" s="14" t="s">
        <v>265</v>
      </c>
      <c r="E103" s="12" t="s">
        <v>266</v>
      </c>
      <c r="F103" s="14">
        <v>6.0</v>
      </c>
    </row>
    <row r="104" ht="15.75" customHeight="1">
      <c r="A104" s="10" t="s">
        <v>557</v>
      </c>
      <c r="B104" s="10" t="s">
        <v>253</v>
      </c>
      <c r="C104" s="6" t="s">
        <v>254</v>
      </c>
      <c r="D104" s="10" t="s">
        <v>268</v>
      </c>
      <c r="E104" s="6" t="s">
        <v>269</v>
      </c>
      <c r="F104" s="10">
        <v>12.0</v>
      </c>
    </row>
    <row r="105" ht="15.75" customHeight="1">
      <c r="A105" s="14" t="s">
        <v>558</v>
      </c>
      <c r="B105" s="14" t="s">
        <v>258</v>
      </c>
      <c r="C105" s="12" t="s">
        <v>259</v>
      </c>
      <c r="D105" s="14" t="s">
        <v>268</v>
      </c>
      <c r="E105" s="12" t="s">
        <v>269</v>
      </c>
      <c r="F105" s="14">
        <v>12.0</v>
      </c>
    </row>
    <row r="106" ht="15.75" customHeight="1">
      <c r="A106" s="10" t="s">
        <v>559</v>
      </c>
      <c r="B106" s="10" t="s">
        <v>265</v>
      </c>
      <c r="C106" s="6" t="s">
        <v>266</v>
      </c>
      <c r="D106" s="10" t="s">
        <v>272</v>
      </c>
      <c r="E106" s="6" t="s">
        <v>273</v>
      </c>
      <c r="F106" s="10">
        <v>8.0</v>
      </c>
    </row>
    <row r="107" ht="15.75" customHeight="1">
      <c r="A107" s="14" t="s">
        <v>560</v>
      </c>
      <c r="B107" s="14" t="s">
        <v>248</v>
      </c>
      <c r="C107" s="12" t="s">
        <v>249</v>
      </c>
      <c r="D107" s="14" t="s">
        <v>275</v>
      </c>
      <c r="E107" s="12" t="s">
        <v>276</v>
      </c>
      <c r="F107" s="14">
        <v>8.0</v>
      </c>
    </row>
    <row r="108" ht="15.75" customHeight="1">
      <c r="A108" s="10" t="s">
        <v>561</v>
      </c>
      <c r="B108" s="10" t="s">
        <v>248</v>
      </c>
      <c r="C108" s="6" t="s">
        <v>249</v>
      </c>
      <c r="D108" s="10" t="s">
        <v>279</v>
      </c>
      <c r="E108" s="6" t="s">
        <v>280</v>
      </c>
      <c r="F108" s="10">
        <v>8.0</v>
      </c>
    </row>
    <row r="109" ht="15.75" customHeight="1">
      <c r="A109" s="14" t="s">
        <v>562</v>
      </c>
      <c r="B109" s="14" t="s">
        <v>275</v>
      </c>
      <c r="C109" s="12" t="s">
        <v>276</v>
      </c>
      <c r="D109" s="14" t="s">
        <v>282</v>
      </c>
      <c r="E109" s="12" t="s">
        <v>283</v>
      </c>
      <c r="F109" s="14">
        <v>12.0</v>
      </c>
    </row>
    <row r="110" ht="15.75" customHeight="1">
      <c r="A110" s="10" t="s">
        <v>563</v>
      </c>
      <c r="B110" s="10" t="s">
        <v>279</v>
      </c>
      <c r="C110" s="6" t="s">
        <v>280</v>
      </c>
      <c r="D110" s="10" t="s">
        <v>282</v>
      </c>
      <c r="E110" s="6" t="s">
        <v>283</v>
      </c>
      <c r="F110" s="10">
        <v>12.0</v>
      </c>
    </row>
    <row r="111" ht="15.75" customHeight="1">
      <c r="A111" s="14" t="s">
        <v>564</v>
      </c>
      <c r="B111" s="14" t="s">
        <v>282</v>
      </c>
      <c r="C111" s="12" t="s">
        <v>283</v>
      </c>
      <c r="D111" s="14" t="s">
        <v>286</v>
      </c>
      <c r="E111" s="12" t="s">
        <v>287</v>
      </c>
      <c r="F111" s="14">
        <v>6.0</v>
      </c>
    </row>
    <row r="112" ht="15.75" customHeight="1">
      <c r="A112" s="10" t="s">
        <v>565</v>
      </c>
      <c r="B112" s="10" t="s">
        <v>275</v>
      </c>
      <c r="C112" s="6" t="s">
        <v>276</v>
      </c>
      <c r="D112" s="10" t="s">
        <v>290</v>
      </c>
      <c r="E112" s="6" t="s">
        <v>291</v>
      </c>
      <c r="F112" s="10">
        <v>12.0</v>
      </c>
    </row>
    <row r="113" ht="15.75" customHeight="1">
      <c r="A113" s="14" t="s">
        <v>566</v>
      </c>
      <c r="B113" s="14" t="s">
        <v>279</v>
      </c>
      <c r="C113" s="12" t="s">
        <v>280</v>
      </c>
      <c r="D113" s="14" t="s">
        <v>290</v>
      </c>
      <c r="E113" s="12" t="s">
        <v>291</v>
      </c>
      <c r="F113" s="14">
        <v>12.0</v>
      </c>
    </row>
    <row r="114" ht="15.75" customHeight="1">
      <c r="A114" s="10" t="s">
        <v>567</v>
      </c>
      <c r="B114" s="10" t="s">
        <v>286</v>
      </c>
      <c r="C114" s="6" t="s">
        <v>287</v>
      </c>
      <c r="D114" s="10" t="s">
        <v>293</v>
      </c>
      <c r="E114" s="6" t="s">
        <v>294</v>
      </c>
      <c r="F114" s="10">
        <v>10.0</v>
      </c>
    </row>
    <row r="115" ht="15.75" customHeight="1">
      <c r="A115" s="14" t="s">
        <v>568</v>
      </c>
      <c r="B115" s="14" t="s">
        <v>235</v>
      </c>
      <c r="C115" s="12" t="s">
        <v>236</v>
      </c>
      <c r="D115" s="14" t="s">
        <v>296</v>
      </c>
      <c r="E115" s="12" t="s">
        <v>297</v>
      </c>
      <c r="F115" s="14">
        <v>96.0</v>
      </c>
    </row>
    <row r="116" ht="15.75" customHeight="1">
      <c r="A116" s="10" t="s">
        <v>569</v>
      </c>
      <c r="B116" s="10" t="s">
        <v>296</v>
      </c>
      <c r="C116" s="6" t="s">
        <v>297</v>
      </c>
      <c r="D116" s="10" t="s">
        <v>301</v>
      </c>
      <c r="E116" s="6" t="s">
        <v>302</v>
      </c>
      <c r="F116" s="10">
        <v>40.0</v>
      </c>
    </row>
    <row r="117" ht="15.75" customHeight="1">
      <c r="A117" s="14" t="s">
        <v>570</v>
      </c>
      <c r="B117" s="14" t="s">
        <v>296</v>
      </c>
      <c r="C117" s="12" t="s">
        <v>297</v>
      </c>
      <c r="D117" s="14" t="s">
        <v>304</v>
      </c>
      <c r="E117" s="12" t="s">
        <v>305</v>
      </c>
      <c r="F117" s="14">
        <v>40.0</v>
      </c>
    </row>
    <row r="118" ht="15.75" customHeight="1">
      <c r="A118" s="10" t="s">
        <v>571</v>
      </c>
      <c r="B118" s="10" t="s">
        <v>235</v>
      </c>
      <c r="C118" s="6" t="s">
        <v>236</v>
      </c>
      <c r="D118" s="10" t="s">
        <v>304</v>
      </c>
      <c r="E118" s="6" t="s">
        <v>305</v>
      </c>
      <c r="F118" s="10">
        <v>96.0</v>
      </c>
    </row>
    <row r="119" ht="15.75" customHeight="1">
      <c r="A119" s="14" t="s">
        <v>572</v>
      </c>
      <c r="B119" s="14" t="s">
        <v>235</v>
      </c>
      <c r="C119" s="12" t="s">
        <v>236</v>
      </c>
      <c r="D119" s="14" t="s">
        <v>309</v>
      </c>
      <c r="E119" s="12" t="s">
        <v>310</v>
      </c>
      <c r="F119" s="14">
        <v>96.0</v>
      </c>
    </row>
    <row r="120" ht="15.75" customHeight="1">
      <c r="A120" s="10" t="s">
        <v>573</v>
      </c>
      <c r="B120" s="10" t="s">
        <v>304</v>
      </c>
      <c r="C120" s="6" t="s">
        <v>305</v>
      </c>
      <c r="D120" s="10" t="s">
        <v>309</v>
      </c>
      <c r="E120" s="6" t="s">
        <v>310</v>
      </c>
      <c r="F120" s="10">
        <v>24.0</v>
      </c>
    </row>
    <row r="121" ht="15.75" customHeight="1">
      <c r="A121" s="14" t="s">
        <v>574</v>
      </c>
      <c r="B121" s="14" t="s">
        <v>235</v>
      </c>
      <c r="C121" s="12" t="s">
        <v>236</v>
      </c>
      <c r="D121" s="14" t="s">
        <v>313</v>
      </c>
      <c r="E121" s="12" t="s">
        <v>314</v>
      </c>
      <c r="F121" s="14">
        <v>96.0</v>
      </c>
    </row>
    <row r="122" ht="15.75" customHeight="1">
      <c r="A122" s="10" t="s">
        <v>575</v>
      </c>
      <c r="B122" s="10" t="s">
        <v>248</v>
      </c>
      <c r="C122" s="6" t="s">
        <v>249</v>
      </c>
      <c r="D122" s="10" t="s">
        <v>317</v>
      </c>
      <c r="E122" s="6" t="s">
        <v>318</v>
      </c>
      <c r="F122" s="10">
        <v>8.0</v>
      </c>
    </row>
    <row r="123" ht="15.75" customHeight="1">
      <c r="A123" s="14" t="s">
        <v>576</v>
      </c>
      <c r="B123" s="14" t="s">
        <v>317</v>
      </c>
      <c r="C123" s="12" t="s">
        <v>318</v>
      </c>
      <c r="D123" s="14" t="s">
        <v>321</v>
      </c>
      <c r="E123" s="12" t="s">
        <v>322</v>
      </c>
      <c r="F123" s="14">
        <v>30.0</v>
      </c>
    </row>
    <row r="124" ht="15.75" customHeight="1">
      <c r="A124" s="10" t="s">
        <v>577</v>
      </c>
      <c r="B124" s="10" t="s">
        <v>317</v>
      </c>
      <c r="C124" s="6" t="s">
        <v>318</v>
      </c>
      <c r="D124" s="10" t="s">
        <v>324</v>
      </c>
      <c r="E124" s="6" t="s">
        <v>325</v>
      </c>
      <c r="F124" s="10">
        <v>30.0</v>
      </c>
    </row>
    <row r="125" ht="15.75" customHeight="1">
      <c r="A125" s="14" t="s">
        <v>578</v>
      </c>
      <c r="B125" s="14" t="s">
        <v>248</v>
      </c>
      <c r="C125" s="12" t="s">
        <v>249</v>
      </c>
      <c r="D125" s="14" t="s">
        <v>324</v>
      </c>
      <c r="E125" s="12" t="s">
        <v>325</v>
      </c>
      <c r="F125" s="14">
        <v>8.0</v>
      </c>
    </row>
    <row r="126" ht="15.75" customHeight="1">
      <c r="A126" s="10" t="s">
        <v>579</v>
      </c>
      <c r="B126" s="10" t="s">
        <v>313</v>
      </c>
      <c r="C126" s="6" t="s">
        <v>314</v>
      </c>
      <c r="D126" s="10" t="s">
        <v>328</v>
      </c>
      <c r="E126" s="6" t="s">
        <v>329</v>
      </c>
      <c r="F126" s="10">
        <v>36.0</v>
      </c>
    </row>
    <row r="127" ht="15.75" customHeight="1">
      <c r="A127" s="14" t="s">
        <v>580</v>
      </c>
      <c r="B127" s="14" t="s">
        <v>248</v>
      </c>
      <c r="C127" s="12" t="s">
        <v>249</v>
      </c>
      <c r="D127" s="14" t="s">
        <v>328</v>
      </c>
      <c r="E127" s="12" t="s">
        <v>329</v>
      </c>
      <c r="F127" s="14">
        <v>8.0</v>
      </c>
    </row>
    <row r="128" ht="15.75" customHeight="1">
      <c r="A128" s="10" t="s">
        <v>581</v>
      </c>
      <c r="B128" s="10" t="s">
        <v>248</v>
      </c>
      <c r="C128" s="6" t="s">
        <v>249</v>
      </c>
      <c r="D128" s="10" t="s">
        <v>332</v>
      </c>
      <c r="E128" s="6" t="s">
        <v>333</v>
      </c>
      <c r="F128" s="10">
        <v>8.0</v>
      </c>
    </row>
    <row r="129" ht="15.75" customHeight="1">
      <c r="A129" s="14" t="s">
        <v>582</v>
      </c>
      <c r="B129" s="14" t="s">
        <v>332</v>
      </c>
      <c r="C129" s="12" t="s">
        <v>333</v>
      </c>
      <c r="D129" s="14" t="s">
        <v>336</v>
      </c>
      <c r="E129" s="12" t="s">
        <v>337</v>
      </c>
      <c r="F129" s="14">
        <v>48.0</v>
      </c>
    </row>
    <row r="130" ht="15.75" customHeight="1">
      <c r="A130" s="10" t="s">
        <v>583</v>
      </c>
      <c r="B130" s="10" t="s">
        <v>332</v>
      </c>
      <c r="C130" s="6" t="s">
        <v>333</v>
      </c>
      <c r="D130" s="10" t="s">
        <v>340</v>
      </c>
      <c r="E130" s="6" t="s">
        <v>341</v>
      </c>
      <c r="F130" s="10">
        <v>48.0</v>
      </c>
    </row>
    <row r="131" ht="15.75" customHeight="1">
      <c r="A131" s="14" t="s">
        <v>584</v>
      </c>
      <c r="B131" s="14" t="s">
        <v>336</v>
      </c>
      <c r="C131" s="12" t="s">
        <v>337</v>
      </c>
      <c r="D131" s="14" t="s">
        <v>340</v>
      </c>
      <c r="E131" s="12" t="s">
        <v>341</v>
      </c>
      <c r="F131" s="14">
        <v>32.0</v>
      </c>
    </row>
    <row r="132" ht="15.75" customHeight="1">
      <c r="A132" s="10" t="s">
        <v>585</v>
      </c>
      <c r="B132" s="10" t="s">
        <v>340</v>
      </c>
      <c r="C132" s="6" t="s">
        <v>341</v>
      </c>
      <c r="D132" s="10" t="s">
        <v>345</v>
      </c>
      <c r="E132" s="6" t="s">
        <v>346</v>
      </c>
      <c r="F132" s="10">
        <v>14.0</v>
      </c>
    </row>
    <row r="133" ht="15.75" customHeight="1">
      <c r="A133" s="14" t="s">
        <v>586</v>
      </c>
      <c r="B133" s="14" t="s">
        <v>290</v>
      </c>
      <c r="C133" s="12" t="s">
        <v>291</v>
      </c>
      <c r="D133" s="14" t="s">
        <v>345</v>
      </c>
      <c r="E133" s="12" t="s">
        <v>346</v>
      </c>
      <c r="F133" s="14">
        <v>14.0</v>
      </c>
    </row>
    <row r="134" ht="15.75" customHeight="1">
      <c r="A134" s="10" t="s">
        <v>587</v>
      </c>
      <c r="B134" s="10" t="s">
        <v>332</v>
      </c>
      <c r="C134" s="6" t="s">
        <v>333</v>
      </c>
      <c r="D134" s="10" t="s">
        <v>350</v>
      </c>
      <c r="E134" s="6" t="s">
        <v>351</v>
      </c>
      <c r="F134" s="10">
        <v>48.0</v>
      </c>
    </row>
    <row r="135" ht="15.75" customHeight="1">
      <c r="A135" s="14" t="s">
        <v>588</v>
      </c>
      <c r="B135" s="14" t="s">
        <v>154</v>
      </c>
      <c r="C135" s="12" t="s">
        <v>155</v>
      </c>
      <c r="D135" s="14" t="s">
        <v>350</v>
      </c>
      <c r="E135" s="12" t="s">
        <v>351</v>
      </c>
      <c r="F135" s="14">
        <v>8.0</v>
      </c>
    </row>
    <row r="136" ht="15.75" customHeight="1">
      <c r="A136" s="10" t="s">
        <v>589</v>
      </c>
      <c r="B136" s="10" t="s">
        <v>268</v>
      </c>
      <c r="C136" s="6" t="s">
        <v>269</v>
      </c>
      <c r="D136" s="10" t="s">
        <v>355</v>
      </c>
      <c r="E136" s="6" t="s">
        <v>356</v>
      </c>
      <c r="F136" s="10">
        <v>14.0</v>
      </c>
    </row>
    <row r="137" ht="15.75" customHeight="1">
      <c r="A137" s="14" t="s">
        <v>590</v>
      </c>
      <c r="B137" s="14" t="s">
        <v>290</v>
      </c>
      <c r="C137" s="12" t="s">
        <v>291</v>
      </c>
      <c r="D137" s="14" t="s">
        <v>360</v>
      </c>
      <c r="E137" s="12" t="s">
        <v>361</v>
      </c>
      <c r="F137" s="14">
        <v>14.0</v>
      </c>
    </row>
    <row r="138" ht="15.75" customHeight="1">
      <c r="A138" s="10" t="s">
        <v>591</v>
      </c>
      <c r="B138" s="10" t="s">
        <v>268</v>
      </c>
      <c r="C138" s="6" t="s">
        <v>269</v>
      </c>
      <c r="D138" s="10" t="s">
        <v>363</v>
      </c>
      <c r="E138" s="6" t="s">
        <v>364</v>
      </c>
      <c r="F138" s="10">
        <v>14.0</v>
      </c>
    </row>
    <row r="139" ht="15.75" customHeight="1">
      <c r="A139" s="14" t="s">
        <v>592</v>
      </c>
      <c r="B139" s="14" t="s">
        <v>355</v>
      </c>
      <c r="C139" s="12" t="s">
        <v>356</v>
      </c>
      <c r="D139" s="14" t="s">
        <v>363</v>
      </c>
      <c r="E139" s="12" t="s">
        <v>364</v>
      </c>
      <c r="F139" s="14">
        <v>16.0</v>
      </c>
    </row>
    <row r="140" ht="15.75" customHeight="1">
      <c r="A140" s="10" t="s">
        <v>593</v>
      </c>
      <c r="B140" s="10" t="s">
        <v>290</v>
      </c>
      <c r="C140" s="6" t="s">
        <v>291</v>
      </c>
      <c r="D140" s="10" t="s">
        <v>368</v>
      </c>
      <c r="E140" s="6" t="s">
        <v>369</v>
      </c>
      <c r="F140" s="10">
        <v>14.0</v>
      </c>
    </row>
    <row r="141" ht="15.75" customHeight="1">
      <c r="A141" s="14" t="s">
        <v>594</v>
      </c>
      <c r="B141" s="14" t="s">
        <v>360</v>
      </c>
      <c r="C141" s="12" t="s">
        <v>361</v>
      </c>
      <c r="D141" s="14" t="s">
        <v>368</v>
      </c>
      <c r="E141" s="12" t="s">
        <v>369</v>
      </c>
      <c r="F141" s="14">
        <v>14.0</v>
      </c>
    </row>
    <row r="142" ht="15.75" customHeight="1">
      <c r="A142" s="10" t="s">
        <v>595</v>
      </c>
      <c r="B142" s="10" t="s">
        <v>355</v>
      </c>
      <c r="C142" s="6" t="s">
        <v>356</v>
      </c>
      <c r="D142" s="10" t="s">
        <v>372</v>
      </c>
      <c r="E142" s="6" t="s">
        <v>373</v>
      </c>
      <c r="F142" s="10">
        <v>16.0</v>
      </c>
    </row>
    <row r="143" ht="15.75" customHeight="1">
      <c r="A143" s="14" t="s">
        <v>596</v>
      </c>
      <c r="B143" s="14" t="s">
        <v>360</v>
      </c>
      <c r="C143" s="12" t="s">
        <v>361</v>
      </c>
      <c r="D143" s="14" t="s">
        <v>372</v>
      </c>
      <c r="E143" s="12" t="s">
        <v>373</v>
      </c>
      <c r="F143" s="14">
        <v>14.0</v>
      </c>
    </row>
    <row r="144" ht="15.75" customHeight="1">
      <c r="A144" s="10" t="s">
        <v>597</v>
      </c>
      <c r="B144" s="10" t="s">
        <v>363</v>
      </c>
      <c r="C144" s="6" t="s">
        <v>364</v>
      </c>
      <c r="D144" s="10" t="s">
        <v>372</v>
      </c>
      <c r="E144" s="6" t="s">
        <v>373</v>
      </c>
      <c r="F144" s="10">
        <v>10.0</v>
      </c>
    </row>
    <row r="145" ht="15.75" customHeight="1">
      <c r="A145" s="14" t="s">
        <v>598</v>
      </c>
      <c r="B145" s="14" t="s">
        <v>368</v>
      </c>
      <c r="C145" s="12" t="s">
        <v>369</v>
      </c>
      <c r="D145" s="14" t="s">
        <v>372</v>
      </c>
      <c r="E145" s="12" t="s">
        <v>373</v>
      </c>
      <c r="F145" s="14">
        <v>10.0</v>
      </c>
    </row>
    <row r="146" ht="15.75" customHeight="1">
      <c r="A146" s="10" t="s">
        <v>599</v>
      </c>
      <c r="B146" s="10" t="s">
        <v>221</v>
      </c>
      <c r="C146" s="6" t="s">
        <v>222</v>
      </c>
      <c r="D146" s="10" t="s">
        <v>376</v>
      </c>
      <c r="E146" s="6" t="s">
        <v>377</v>
      </c>
      <c r="F146" s="10">
        <v>8.0</v>
      </c>
    </row>
    <row r="147" ht="15.75" customHeight="1">
      <c r="A147" s="14" t="s">
        <v>600</v>
      </c>
      <c r="B147" s="14" t="s">
        <v>360</v>
      </c>
      <c r="C147" s="12" t="s">
        <v>361</v>
      </c>
      <c r="D147" s="14" t="s">
        <v>376</v>
      </c>
      <c r="E147" s="12" t="s">
        <v>377</v>
      </c>
      <c r="F147" s="14">
        <v>14.0</v>
      </c>
    </row>
    <row r="148" ht="15.75" customHeight="1">
      <c r="A148" s="10" t="s">
        <v>601</v>
      </c>
      <c r="B148" s="10" t="s">
        <v>368</v>
      </c>
      <c r="C148" s="6" t="s">
        <v>369</v>
      </c>
      <c r="D148" s="10" t="s">
        <v>376</v>
      </c>
      <c r="E148" s="6" t="s">
        <v>377</v>
      </c>
      <c r="F148" s="10">
        <v>10.0</v>
      </c>
    </row>
    <row r="149" ht="15.75" customHeight="1">
      <c r="A149" s="14" t="s">
        <v>602</v>
      </c>
      <c r="B149" s="14" t="s">
        <v>268</v>
      </c>
      <c r="C149" s="12" t="s">
        <v>269</v>
      </c>
      <c r="D149" s="14" t="s">
        <v>381</v>
      </c>
      <c r="E149" s="12" t="s">
        <v>382</v>
      </c>
      <c r="F149" s="14">
        <v>14.0</v>
      </c>
    </row>
    <row r="150" ht="15.75" customHeight="1">
      <c r="A150" s="10" t="s">
        <v>603</v>
      </c>
      <c r="B150" s="10" t="s">
        <v>290</v>
      </c>
      <c r="C150" s="6" t="s">
        <v>291</v>
      </c>
      <c r="D150" s="10" t="s">
        <v>386</v>
      </c>
      <c r="E150" s="6" t="s">
        <v>387</v>
      </c>
      <c r="F150" s="10">
        <v>14.0</v>
      </c>
    </row>
    <row r="151" ht="15.75" customHeight="1">
      <c r="A151" s="14" t="s">
        <v>604</v>
      </c>
      <c r="B151" s="14" t="s">
        <v>381</v>
      </c>
      <c r="C151" s="12" t="s">
        <v>382</v>
      </c>
      <c r="D151" s="14" t="s">
        <v>389</v>
      </c>
      <c r="E151" s="12" t="s">
        <v>390</v>
      </c>
      <c r="F151" s="14">
        <v>8.0</v>
      </c>
    </row>
    <row r="152" ht="15.75" customHeight="1">
      <c r="A152" s="10" t="s">
        <v>605</v>
      </c>
      <c r="B152" s="10" t="s">
        <v>386</v>
      </c>
      <c r="C152" s="6" t="s">
        <v>387</v>
      </c>
      <c r="D152" s="10" t="s">
        <v>389</v>
      </c>
      <c r="E152" s="6" t="s">
        <v>390</v>
      </c>
      <c r="F152" s="10">
        <v>8.0</v>
      </c>
    </row>
    <row r="153" ht="15.75" customHeight="1">
      <c r="A153" s="14" t="s">
        <v>606</v>
      </c>
      <c r="B153" s="14" t="s">
        <v>235</v>
      </c>
      <c r="C153" s="12" t="s">
        <v>236</v>
      </c>
      <c r="D153" s="14" t="s">
        <v>394</v>
      </c>
      <c r="E153" s="12" t="s">
        <v>395</v>
      </c>
      <c r="F153" s="14">
        <v>96.0</v>
      </c>
    </row>
    <row r="154" ht="15.75" customHeight="1">
      <c r="A154" s="10" t="s">
        <v>607</v>
      </c>
      <c r="B154" s="10" t="s">
        <v>235</v>
      </c>
      <c r="C154" s="6" t="s">
        <v>236</v>
      </c>
      <c r="D154" s="10" t="s">
        <v>399</v>
      </c>
      <c r="E154" s="6" t="s">
        <v>400</v>
      </c>
      <c r="F154" s="10">
        <v>96.0</v>
      </c>
    </row>
    <row r="155" ht="15.75" customHeight="1">
      <c r="A155" s="14" t="s">
        <v>608</v>
      </c>
      <c r="B155" s="14" t="s">
        <v>235</v>
      </c>
      <c r="C155" s="12" t="s">
        <v>236</v>
      </c>
      <c r="D155" s="14" t="s">
        <v>402</v>
      </c>
      <c r="E155" s="12" t="s">
        <v>403</v>
      </c>
      <c r="F155" s="14">
        <v>96.0</v>
      </c>
    </row>
    <row r="156" ht="15.75" customHeight="1">
      <c r="A156" s="10" t="s">
        <v>609</v>
      </c>
      <c r="B156" s="10" t="s">
        <v>221</v>
      </c>
      <c r="C156" s="6" t="s">
        <v>222</v>
      </c>
      <c r="D156" s="10" t="s">
        <v>402</v>
      </c>
      <c r="E156" s="6" t="s">
        <v>403</v>
      </c>
      <c r="F156" s="10">
        <v>8.0</v>
      </c>
    </row>
    <row r="157" ht="15.75" customHeight="1">
      <c r="A157" s="14" t="s">
        <v>610</v>
      </c>
      <c r="B157" s="14" t="s">
        <v>235</v>
      </c>
      <c r="C157" s="12" t="s">
        <v>236</v>
      </c>
      <c r="D157" s="14" t="s">
        <v>407</v>
      </c>
      <c r="E157" s="12" t="s">
        <v>408</v>
      </c>
      <c r="F157" s="14">
        <v>96.0</v>
      </c>
    </row>
    <row r="158" ht="15.75" customHeight="1">
      <c r="A158" s="10" t="s">
        <v>611</v>
      </c>
      <c r="B158" s="10" t="s">
        <v>399</v>
      </c>
      <c r="C158" s="6" t="s">
        <v>400</v>
      </c>
      <c r="D158" s="10" t="s">
        <v>407</v>
      </c>
      <c r="E158" s="6" t="s">
        <v>408</v>
      </c>
      <c r="F158" s="10">
        <v>12.0</v>
      </c>
    </row>
    <row r="159" ht="15.75" customHeight="1">
      <c r="A159" s="14" t="s">
        <v>612</v>
      </c>
      <c r="B159" s="14" t="s">
        <v>235</v>
      </c>
      <c r="C159" s="12" t="s">
        <v>236</v>
      </c>
      <c r="D159" s="14" t="s">
        <v>412</v>
      </c>
      <c r="E159" s="12" t="s">
        <v>413</v>
      </c>
      <c r="F159" s="14">
        <v>96.0</v>
      </c>
    </row>
    <row r="160" ht="15.75" customHeight="1">
      <c r="A160" s="10" t="s">
        <v>613</v>
      </c>
      <c r="B160" s="10" t="s">
        <v>235</v>
      </c>
      <c r="C160" s="6" t="s">
        <v>236</v>
      </c>
      <c r="D160" s="10" t="s">
        <v>416</v>
      </c>
      <c r="E160" s="6" t="s">
        <v>417</v>
      </c>
      <c r="F160" s="10">
        <v>96.0</v>
      </c>
    </row>
    <row r="161" ht="15.75" customHeight="1">
      <c r="A161" s="14" t="s">
        <v>614</v>
      </c>
      <c r="B161" s="14" t="s">
        <v>74</v>
      </c>
      <c r="C161" s="12" t="s">
        <v>75</v>
      </c>
      <c r="D161" s="14" t="s">
        <v>420</v>
      </c>
      <c r="E161" s="12" t="s">
        <v>421</v>
      </c>
      <c r="F161" s="14">
        <v>36.0</v>
      </c>
    </row>
    <row r="162" ht="15.75" customHeight="1">
      <c r="A162" s="10" t="s">
        <v>615</v>
      </c>
      <c r="B162" s="10" t="s">
        <v>132</v>
      </c>
      <c r="C162" s="6" t="s">
        <v>133</v>
      </c>
      <c r="D162" s="10" t="s">
        <v>420</v>
      </c>
      <c r="E162" s="6" t="s">
        <v>421</v>
      </c>
      <c r="F162" s="10">
        <v>10.0</v>
      </c>
    </row>
    <row r="163" ht="15.75" customHeight="1">
      <c r="A163" s="14" t="s">
        <v>616</v>
      </c>
      <c r="B163" s="14" t="s">
        <v>154</v>
      </c>
      <c r="C163" s="12" t="s">
        <v>155</v>
      </c>
      <c r="D163" s="14" t="s">
        <v>420</v>
      </c>
      <c r="E163" s="12" t="s">
        <v>421</v>
      </c>
      <c r="F163" s="14">
        <v>8.0</v>
      </c>
    </row>
    <row r="164" ht="15.75" customHeight="1">
      <c r="A164" s="10" t="s">
        <v>617</v>
      </c>
      <c r="B164" s="10" t="s">
        <v>172</v>
      </c>
      <c r="C164" s="6" t="s">
        <v>173</v>
      </c>
      <c r="D164" s="10" t="s">
        <v>420</v>
      </c>
      <c r="E164" s="6" t="s">
        <v>421</v>
      </c>
      <c r="F164" s="10">
        <v>16.0</v>
      </c>
    </row>
    <row r="165" ht="15.75" customHeight="1">
      <c r="A165" s="14" t="s">
        <v>618</v>
      </c>
      <c r="B165" s="14" t="s">
        <v>235</v>
      </c>
      <c r="C165" s="12" t="s">
        <v>236</v>
      </c>
      <c r="D165" s="14" t="s">
        <v>420</v>
      </c>
      <c r="E165" s="12" t="s">
        <v>421</v>
      </c>
      <c r="F165" s="14">
        <v>96.0</v>
      </c>
    </row>
    <row r="166" ht="15.75" customHeight="1">
      <c r="A166" s="10" t="s">
        <v>619</v>
      </c>
      <c r="B166" s="10" t="s">
        <v>248</v>
      </c>
      <c r="C166" s="6" t="s">
        <v>249</v>
      </c>
      <c r="D166" s="10" t="s">
        <v>420</v>
      </c>
      <c r="E166" s="6" t="s">
        <v>421</v>
      </c>
      <c r="F166" s="10">
        <v>8.0</v>
      </c>
    </row>
    <row r="167" ht="15.75" customHeight="1">
      <c r="A167" s="14" t="s">
        <v>620</v>
      </c>
      <c r="B167" s="14" t="s">
        <v>420</v>
      </c>
      <c r="C167" s="12" t="s">
        <v>421</v>
      </c>
      <c r="D167" s="14" t="s">
        <v>425</v>
      </c>
      <c r="E167" s="12" t="s">
        <v>426</v>
      </c>
      <c r="F167" s="14">
        <v>24.0</v>
      </c>
    </row>
    <row r="168" ht="15.75" customHeight="1">
      <c r="A168" s="10" t="s">
        <v>621</v>
      </c>
      <c r="B168" s="10" t="s">
        <v>332</v>
      </c>
      <c r="C168" s="6" t="s">
        <v>333</v>
      </c>
      <c r="D168" s="10" t="s">
        <v>425</v>
      </c>
      <c r="E168" s="6" t="s">
        <v>426</v>
      </c>
      <c r="F168" s="10">
        <v>48.0</v>
      </c>
    </row>
    <row r="169" ht="15.75" customHeight="1">
      <c r="A169" s="14" t="s">
        <v>622</v>
      </c>
      <c r="B169" s="14" t="s">
        <v>336</v>
      </c>
      <c r="C169" s="12" t="s">
        <v>337</v>
      </c>
      <c r="D169" s="14" t="s">
        <v>425</v>
      </c>
      <c r="E169" s="12" t="s">
        <v>426</v>
      </c>
      <c r="F169" s="14">
        <v>32.0</v>
      </c>
    </row>
    <row r="170" ht="15.75" customHeight="1">
      <c r="A170" s="10" t="s">
        <v>623</v>
      </c>
      <c r="B170" s="10" t="s">
        <v>340</v>
      </c>
      <c r="C170" s="6" t="s">
        <v>341</v>
      </c>
      <c r="D170" s="10" t="s">
        <v>425</v>
      </c>
      <c r="E170" s="6" t="s">
        <v>426</v>
      </c>
      <c r="F170" s="10">
        <v>14.0</v>
      </c>
    </row>
    <row r="171" ht="15.75" customHeight="1">
      <c r="A171" s="14" t="s">
        <v>624</v>
      </c>
      <c r="B171" s="14" t="s">
        <v>350</v>
      </c>
      <c r="C171" s="12" t="s">
        <v>351</v>
      </c>
      <c r="D171" s="14" t="s">
        <v>425</v>
      </c>
      <c r="E171" s="12" t="s">
        <v>426</v>
      </c>
      <c r="F171" s="14">
        <v>8.0</v>
      </c>
    </row>
    <row r="172" ht="15.75" customHeight="1">
      <c r="A172" s="10" t="s">
        <v>625</v>
      </c>
      <c r="B172" s="10" t="s">
        <v>425</v>
      </c>
      <c r="C172" s="6" t="s">
        <v>426</v>
      </c>
      <c r="D172" s="10" t="s">
        <v>429</v>
      </c>
      <c r="E172" s="6" t="s">
        <v>430</v>
      </c>
      <c r="F172" s="10">
        <v>12.0</v>
      </c>
    </row>
    <row r="173" ht="15.75" customHeight="1">
      <c r="A173" s="14" t="s">
        <v>626</v>
      </c>
      <c r="B173" s="14" t="s">
        <v>253</v>
      </c>
      <c r="C173" s="12" t="s">
        <v>254</v>
      </c>
      <c r="D173" s="14" t="s">
        <v>429</v>
      </c>
      <c r="E173" s="12" t="s">
        <v>430</v>
      </c>
      <c r="F173" s="14">
        <v>12.0</v>
      </c>
    </row>
    <row r="174" ht="15.75" customHeight="1">
      <c r="A174" s="10" t="s">
        <v>627</v>
      </c>
      <c r="B174" s="10" t="s">
        <v>258</v>
      </c>
      <c r="C174" s="6" t="s">
        <v>259</v>
      </c>
      <c r="D174" s="10" t="s">
        <v>429</v>
      </c>
      <c r="E174" s="6" t="s">
        <v>430</v>
      </c>
      <c r="F174" s="10">
        <v>12.0</v>
      </c>
    </row>
    <row r="175" ht="15.75" customHeight="1">
      <c r="A175" s="14" t="s">
        <v>628</v>
      </c>
      <c r="B175" s="14" t="s">
        <v>261</v>
      </c>
      <c r="C175" s="12" t="s">
        <v>262</v>
      </c>
      <c r="D175" s="14" t="s">
        <v>429</v>
      </c>
      <c r="E175" s="12" t="s">
        <v>430</v>
      </c>
      <c r="F175" s="14">
        <v>6.0</v>
      </c>
    </row>
    <row r="176" ht="15.75" customHeight="1">
      <c r="A176" s="10" t="s">
        <v>629</v>
      </c>
      <c r="B176" s="10" t="s">
        <v>265</v>
      </c>
      <c r="C176" s="6" t="s">
        <v>266</v>
      </c>
      <c r="D176" s="10" t="s">
        <v>429</v>
      </c>
      <c r="E176" s="6" t="s">
        <v>430</v>
      </c>
      <c r="F176" s="10">
        <v>8.0</v>
      </c>
    </row>
    <row r="177" ht="15.75" customHeight="1">
      <c r="A177" s="14" t="s">
        <v>630</v>
      </c>
      <c r="B177" s="14" t="s">
        <v>268</v>
      </c>
      <c r="C177" s="12" t="s">
        <v>269</v>
      </c>
      <c r="D177" s="14" t="s">
        <v>429</v>
      </c>
      <c r="E177" s="12" t="s">
        <v>430</v>
      </c>
      <c r="F177" s="14">
        <v>14.0</v>
      </c>
    </row>
    <row r="178" ht="15.75" customHeight="1">
      <c r="A178" s="10" t="s">
        <v>631</v>
      </c>
      <c r="B178" s="10" t="s">
        <v>272</v>
      </c>
      <c r="C178" s="6" t="s">
        <v>273</v>
      </c>
      <c r="D178" s="10" t="s">
        <v>429</v>
      </c>
      <c r="E178" s="6" t="s">
        <v>430</v>
      </c>
      <c r="F178" s="10">
        <v>4.0</v>
      </c>
    </row>
    <row r="179" ht="15.75" customHeight="1">
      <c r="A179" s="14" t="s">
        <v>632</v>
      </c>
      <c r="B179" s="14" t="s">
        <v>275</v>
      </c>
      <c r="C179" s="12" t="s">
        <v>276</v>
      </c>
      <c r="D179" s="14" t="s">
        <v>429</v>
      </c>
      <c r="E179" s="12" t="s">
        <v>430</v>
      </c>
      <c r="F179" s="14">
        <v>12.0</v>
      </c>
    </row>
    <row r="180" ht="15.75" customHeight="1">
      <c r="A180" s="10" t="s">
        <v>633</v>
      </c>
      <c r="B180" s="10" t="s">
        <v>279</v>
      </c>
      <c r="C180" s="6" t="s">
        <v>280</v>
      </c>
      <c r="D180" s="10" t="s">
        <v>429</v>
      </c>
      <c r="E180" s="6" t="s">
        <v>430</v>
      </c>
      <c r="F180" s="10">
        <v>12.0</v>
      </c>
    </row>
    <row r="181" ht="15.75" customHeight="1">
      <c r="A181" s="14" t="s">
        <v>634</v>
      </c>
      <c r="B181" s="14" t="s">
        <v>282</v>
      </c>
      <c r="C181" s="12" t="s">
        <v>283</v>
      </c>
      <c r="D181" s="14" t="s">
        <v>429</v>
      </c>
      <c r="E181" s="12" t="s">
        <v>430</v>
      </c>
      <c r="F181" s="14">
        <v>6.0</v>
      </c>
    </row>
    <row r="182" ht="15.75" customHeight="1">
      <c r="A182" s="10" t="s">
        <v>635</v>
      </c>
      <c r="B182" s="10" t="s">
        <v>286</v>
      </c>
      <c r="C182" s="6" t="s">
        <v>287</v>
      </c>
      <c r="D182" s="10" t="s">
        <v>429</v>
      </c>
      <c r="E182" s="6" t="s">
        <v>430</v>
      </c>
      <c r="F182" s="10">
        <v>10.0</v>
      </c>
    </row>
    <row r="183" ht="15.75" customHeight="1">
      <c r="A183" s="14" t="s">
        <v>636</v>
      </c>
      <c r="B183" s="14" t="s">
        <v>290</v>
      </c>
      <c r="C183" s="12" t="s">
        <v>291</v>
      </c>
      <c r="D183" s="14" t="s">
        <v>429</v>
      </c>
      <c r="E183" s="12" t="s">
        <v>430</v>
      </c>
      <c r="F183" s="14">
        <v>14.0</v>
      </c>
    </row>
    <row r="184" ht="15.75" customHeight="1">
      <c r="A184" s="10" t="s">
        <v>637</v>
      </c>
      <c r="B184" s="10" t="s">
        <v>293</v>
      </c>
      <c r="C184" s="6" t="s">
        <v>294</v>
      </c>
      <c r="D184" s="10" t="s">
        <v>429</v>
      </c>
      <c r="E184" s="6" t="s">
        <v>430</v>
      </c>
      <c r="F184" s="10">
        <v>4.0</v>
      </c>
    </row>
    <row r="185" ht="15.75" customHeight="1">
      <c r="A185" s="14" t="s">
        <v>638</v>
      </c>
      <c r="B185" s="14" t="s">
        <v>429</v>
      </c>
      <c r="C185" s="12" t="s">
        <v>430</v>
      </c>
      <c r="D185" s="14" t="s">
        <v>433</v>
      </c>
      <c r="E185" s="12" t="s">
        <v>434</v>
      </c>
      <c r="F185" s="14">
        <v>16.0</v>
      </c>
    </row>
    <row r="186" ht="15.75" customHeight="1">
      <c r="A186" s="10" t="s">
        <v>639</v>
      </c>
      <c r="B186" s="10" t="s">
        <v>296</v>
      </c>
      <c r="C186" s="6" t="s">
        <v>297</v>
      </c>
      <c r="D186" s="10" t="s">
        <v>433</v>
      </c>
      <c r="E186" s="6" t="s">
        <v>434</v>
      </c>
      <c r="F186" s="10">
        <v>40.0</v>
      </c>
    </row>
    <row r="187" ht="15.75" customHeight="1">
      <c r="A187" s="14" t="s">
        <v>640</v>
      </c>
      <c r="B187" s="14" t="s">
        <v>301</v>
      </c>
      <c r="C187" s="12" t="s">
        <v>302</v>
      </c>
      <c r="D187" s="14" t="s">
        <v>433</v>
      </c>
      <c r="E187" s="12" t="s">
        <v>434</v>
      </c>
      <c r="F187" s="14">
        <v>20.0</v>
      </c>
    </row>
    <row r="188" ht="15.75" customHeight="1">
      <c r="A188" s="10" t="s">
        <v>641</v>
      </c>
      <c r="B188" s="10" t="s">
        <v>304</v>
      </c>
      <c r="C188" s="6" t="s">
        <v>305</v>
      </c>
      <c r="D188" s="10" t="s">
        <v>433</v>
      </c>
      <c r="E188" s="6" t="s">
        <v>434</v>
      </c>
      <c r="F188" s="10">
        <v>24.0</v>
      </c>
    </row>
    <row r="189" ht="15.75" customHeight="1">
      <c r="A189" s="14" t="s">
        <v>642</v>
      </c>
      <c r="B189" s="14" t="s">
        <v>309</v>
      </c>
      <c r="C189" s="12" t="s">
        <v>310</v>
      </c>
      <c r="D189" s="14" t="s">
        <v>433</v>
      </c>
      <c r="E189" s="12" t="s">
        <v>434</v>
      </c>
      <c r="F189" s="14">
        <v>28.0</v>
      </c>
    </row>
    <row r="190" ht="15.75" customHeight="1">
      <c r="A190" s="10" t="s">
        <v>643</v>
      </c>
      <c r="B190" s="10" t="s">
        <v>313</v>
      </c>
      <c r="C190" s="6" t="s">
        <v>314</v>
      </c>
      <c r="D190" s="10" t="s">
        <v>433</v>
      </c>
      <c r="E190" s="6" t="s">
        <v>434</v>
      </c>
      <c r="F190" s="10">
        <v>36.0</v>
      </c>
    </row>
    <row r="191" ht="15.75" customHeight="1">
      <c r="A191" s="14" t="s">
        <v>644</v>
      </c>
      <c r="B191" s="14" t="s">
        <v>317</v>
      </c>
      <c r="C191" s="12" t="s">
        <v>318</v>
      </c>
      <c r="D191" s="14" t="s">
        <v>433</v>
      </c>
      <c r="E191" s="12" t="s">
        <v>434</v>
      </c>
      <c r="F191" s="14">
        <v>30.0</v>
      </c>
    </row>
    <row r="192" ht="15.75" customHeight="1">
      <c r="A192" s="10" t="s">
        <v>645</v>
      </c>
      <c r="B192" s="10" t="s">
        <v>321</v>
      </c>
      <c r="C192" s="6" t="s">
        <v>322</v>
      </c>
      <c r="D192" s="10" t="s">
        <v>433</v>
      </c>
      <c r="E192" s="6" t="s">
        <v>434</v>
      </c>
      <c r="F192" s="10">
        <v>12.0</v>
      </c>
    </row>
    <row r="193" ht="15.75" customHeight="1">
      <c r="A193" s="14" t="s">
        <v>646</v>
      </c>
      <c r="B193" s="14" t="s">
        <v>324</v>
      </c>
      <c r="C193" s="12" t="s">
        <v>325</v>
      </c>
      <c r="D193" s="14" t="s">
        <v>433</v>
      </c>
      <c r="E193" s="12" t="s">
        <v>434</v>
      </c>
      <c r="F193" s="14">
        <v>14.0</v>
      </c>
    </row>
    <row r="194" ht="15.75" customHeight="1">
      <c r="A194" s="10" t="s">
        <v>647</v>
      </c>
      <c r="B194" s="10" t="s">
        <v>328</v>
      </c>
      <c r="C194" s="6" t="s">
        <v>329</v>
      </c>
      <c r="D194" s="10" t="s">
        <v>433</v>
      </c>
      <c r="E194" s="6" t="s">
        <v>434</v>
      </c>
      <c r="F194" s="10">
        <v>28.0</v>
      </c>
    </row>
    <row r="195" ht="15.75" customHeight="1">
      <c r="A195" s="14" t="s">
        <v>648</v>
      </c>
      <c r="B195" s="14" t="s">
        <v>429</v>
      </c>
      <c r="C195" s="12" t="s">
        <v>430</v>
      </c>
      <c r="D195" s="14" t="s">
        <v>437</v>
      </c>
      <c r="E195" s="12" t="s">
        <v>438</v>
      </c>
      <c r="F195" s="14">
        <v>16.0</v>
      </c>
    </row>
    <row r="196" ht="15.75" customHeight="1">
      <c r="A196" s="10" t="s">
        <v>649</v>
      </c>
      <c r="B196" s="10" t="s">
        <v>355</v>
      </c>
      <c r="C196" s="6" t="s">
        <v>356</v>
      </c>
      <c r="D196" s="10" t="s">
        <v>437</v>
      </c>
      <c r="E196" s="6" t="s">
        <v>438</v>
      </c>
      <c r="F196" s="10">
        <v>16.0</v>
      </c>
    </row>
    <row r="197" ht="15.75" customHeight="1">
      <c r="A197" s="14" t="s">
        <v>650</v>
      </c>
      <c r="B197" s="14" t="s">
        <v>360</v>
      </c>
      <c r="C197" s="12" t="s">
        <v>361</v>
      </c>
      <c r="D197" s="14" t="s">
        <v>437</v>
      </c>
      <c r="E197" s="12" t="s">
        <v>438</v>
      </c>
      <c r="F197" s="14">
        <v>14.0</v>
      </c>
    </row>
    <row r="198" ht="15.75" customHeight="1">
      <c r="A198" s="10" t="s">
        <v>651</v>
      </c>
      <c r="B198" s="10" t="s">
        <v>363</v>
      </c>
      <c r="C198" s="6" t="s">
        <v>364</v>
      </c>
      <c r="D198" s="10" t="s">
        <v>437</v>
      </c>
      <c r="E198" s="6" t="s">
        <v>438</v>
      </c>
      <c r="F198" s="10">
        <v>10.0</v>
      </c>
    </row>
    <row r="199" ht="15.75" customHeight="1">
      <c r="A199" s="14" t="s">
        <v>652</v>
      </c>
      <c r="B199" s="14" t="s">
        <v>368</v>
      </c>
      <c r="C199" s="12" t="s">
        <v>369</v>
      </c>
      <c r="D199" s="14" t="s">
        <v>437</v>
      </c>
      <c r="E199" s="12" t="s">
        <v>438</v>
      </c>
      <c r="F199" s="14">
        <v>10.0</v>
      </c>
    </row>
    <row r="200" ht="15.75" customHeight="1">
      <c r="A200" s="10" t="s">
        <v>653</v>
      </c>
      <c r="B200" s="10" t="s">
        <v>372</v>
      </c>
      <c r="C200" s="6" t="s">
        <v>373</v>
      </c>
      <c r="D200" s="10" t="s">
        <v>437</v>
      </c>
      <c r="E200" s="6" t="s">
        <v>438</v>
      </c>
      <c r="F200" s="10">
        <v>8.0</v>
      </c>
    </row>
    <row r="201" ht="15.75" customHeight="1">
      <c r="A201" s="14" t="s">
        <v>654</v>
      </c>
      <c r="B201" s="14" t="s">
        <v>376</v>
      </c>
      <c r="C201" s="12" t="s">
        <v>377</v>
      </c>
      <c r="D201" s="14" t="s">
        <v>437</v>
      </c>
      <c r="E201" s="12" t="s">
        <v>438</v>
      </c>
      <c r="F201" s="14">
        <v>10.0</v>
      </c>
    </row>
    <row r="202" ht="15.75" customHeight="1">
      <c r="A202" s="10" t="s">
        <v>655</v>
      </c>
      <c r="B202" s="10" t="s">
        <v>381</v>
      </c>
      <c r="C202" s="6" t="s">
        <v>382</v>
      </c>
      <c r="D202" s="10" t="s">
        <v>437</v>
      </c>
      <c r="E202" s="6" t="s">
        <v>438</v>
      </c>
      <c r="F202" s="10">
        <v>8.0</v>
      </c>
    </row>
    <row r="203" ht="15.75" customHeight="1">
      <c r="A203" s="14" t="s">
        <v>656</v>
      </c>
      <c r="B203" s="14" t="s">
        <v>386</v>
      </c>
      <c r="C203" s="12" t="s">
        <v>387</v>
      </c>
      <c r="D203" s="14" t="s">
        <v>437</v>
      </c>
      <c r="E203" s="12" t="s">
        <v>438</v>
      </c>
      <c r="F203" s="14">
        <v>8.0</v>
      </c>
    </row>
    <row r="204" ht="15.75" customHeight="1">
      <c r="A204" s="10" t="s">
        <v>657</v>
      </c>
      <c r="B204" s="10" t="s">
        <v>389</v>
      </c>
      <c r="C204" s="6" t="s">
        <v>390</v>
      </c>
      <c r="D204" s="10" t="s">
        <v>437</v>
      </c>
      <c r="E204" s="6" t="s">
        <v>438</v>
      </c>
      <c r="F204" s="10">
        <v>2.0</v>
      </c>
    </row>
    <row r="205" ht="15.75" customHeight="1">
      <c r="A205" s="14" t="s">
        <v>658</v>
      </c>
      <c r="B205" s="14" t="s">
        <v>429</v>
      </c>
      <c r="C205" s="12" t="s">
        <v>430</v>
      </c>
      <c r="D205" s="14" t="s">
        <v>441</v>
      </c>
      <c r="E205" s="12" t="s">
        <v>442</v>
      </c>
      <c r="F205" s="14">
        <v>16.0</v>
      </c>
    </row>
    <row r="206" ht="15.75" customHeight="1">
      <c r="A206" s="10" t="s">
        <v>659</v>
      </c>
      <c r="B206" s="10" t="s">
        <v>394</v>
      </c>
      <c r="C206" s="6" t="s">
        <v>395</v>
      </c>
      <c r="D206" s="10" t="s">
        <v>441</v>
      </c>
      <c r="E206" s="6" t="s">
        <v>442</v>
      </c>
      <c r="F206" s="10">
        <v>16.0</v>
      </c>
    </row>
    <row r="207" ht="15.75" customHeight="1">
      <c r="A207" s="14" t="s">
        <v>660</v>
      </c>
      <c r="B207" s="14" t="s">
        <v>399</v>
      </c>
      <c r="C207" s="12" t="s">
        <v>400</v>
      </c>
      <c r="D207" s="14" t="s">
        <v>441</v>
      </c>
      <c r="E207" s="12" t="s">
        <v>442</v>
      </c>
      <c r="F207" s="14">
        <v>12.0</v>
      </c>
    </row>
    <row r="208" ht="15.75" customHeight="1">
      <c r="A208" s="10" t="s">
        <v>661</v>
      </c>
      <c r="B208" s="10" t="s">
        <v>402</v>
      </c>
      <c r="C208" s="6" t="s">
        <v>403</v>
      </c>
      <c r="D208" s="10" t="s">
        <v>441</v>
      </c>
      <c r="E208" s="6" t="s">
        <v>442</v>
      </c>
      <c r="F208" s="10">
        <v>20.0</v>
      </c>
    </row>
    <row r="209" ht="15.75" customHeight="1">
      <c r="A209" s="14" t="s">
        <v>662</v>
      </c>
      <c r="B209" s="14" t="s">
        <v>407</v>
      </c>
      <c r="C209" s="12" t="s">
        <v>408</v>
      </c>
      <c r="D209" s="14" t="s">
        <v>441</v>
      </c>
      <c r="E209" s="12" t="s">
        <v>442</v>
      </c>
      <c r="F209" s="14">
        <v>2.0</v>
      </c>
    </row>
    <row r="210" ht="15.75" customHeight="1">
      <c r="A210" s="10" t="s">
        <v>663</v>
      </c>
      <c r="B210" s="10" t="s">
        <v>412</v>
      </c>
      <c r="C210" s="6" t="s">
        <v>413</v>
      </c>
      <c r="D210" s="10" t="s">
        <v>441</v>
      </c>
      <c r="E210" s="6" t="s">
        <v>442</v>
      </c>
      <c r="F210" s="10">
        <v>4.0</v>
      </c>
    </row>
    <row r="211" ht="15.75" customHeight="1">
      <c r="A211" s="14" t="s">
        <v>664</v>
      </c>
      <c r="B211" s="14" t="s">
        <v>416</v>
      </c>
      <c r="C211" s="12" t="s">
        <v>417</v>
      </c>
      <c r="D211" s="14" t="s">
        <v>441</v>
      </c>
      <c r="E211" s="12" t="s">
        <v>442</v>
      </c>
      <c r="F211" s="14">
        <v>3.0</v>
      </c>
    </row>
    <row r="212" ht="15.75" customHeight="1">
      <c r="A212" s="10" t="s">
        <v>665</v>
      </c>
      <c r="B212" s="10" t="s">
        <v>226</v>
      </c>
      <c r="C212" s="6" t="s">
        <v>227</v>
      </c>
      <c r="D212" s="10" t="s">
        <v>441</v>
      </c>
      <c r="E212" s="6" t="s">
        <v>442</v>
      </c>
      <c r="F212" s="10">
        <v>16.0</v>
      </c>
    </row>
    <row r="213" ht="15.75" customHeight="1">
      <c r="A213" s="14" t="s">
        <v>666</v>
      </c>
      <c r="B213" s="14" t="s">
        <v>230</v>
      </c>
      <c r="C213" s="12" t="s">
        <v>231</v>
      </c>
      <c r="D213" s="14" t="s">
        <v>441</v>
      </c>
      <c r="E213" s="12" t="s">
        <v>442</v>
      </c>
      <c r="F213" s="14">
        <v>10.0</v>
      </c>
    </row>
    <row r="214" ht="15.75" customHeight="1">
      <c r="A214" s="10" t="s">
        <v>667</v>
      </c>
      <c r="B214" s="10" t="s">
        <v>420</v>
      </c>
      <c r="C214" s="6" t="s">
        <v>421</v>
      </c>
      <c r="D214" s="10" t="s">
        <v>445</v>
      </c>
      <c r="E214" s="6" t="s">
        <v>446</v>
      </c>
      <c r="F214" s="10">
        <v>24.0</v>
      </c>
    </row>
    <row r="215" ht="15.75" customHeight="1">
      <c r="A215" s="14" t="s">
        <v>668</v>
      </c>
      <c r="B215" s="14" t="s">
        <v>425</v>
      </c>
      <c r="C215" s="12" t="s">
        <v>426</v>
      </c>
      <c r="D215" s="14" t="s">
        <v>445</v>
      </c>
      <c r="E215" s="12" t="s">
        <v>446</v>
      </c>
      <c r="F215" s="14">
        <v>12.0</v>
      </c>
    </row>
    <row r="216" ht="15.75" customHeight="1">
      <c r="A216" s="10" t="s">
        <v>669</v>
      </c>
      <c r="B216" s="10" t="s">
        <v>429</v>
      </c>
      <c r="C216" s="6" t="s">
        <v>430</v>
      </c>
      <c r="D216" s="10" t="s">
        <v>445</v>
      </c>
      <c r="E216" s="6" t="s">
        <v>446</v>
      </c>
      <c r="F216" s="10">
        <v>16.0</v>
      </c>
    </row>
    <row r="217" ht="15.75" customHeight="1">
      <c r="A217" s="14" t="s">
        <v>670</v>
      </c>
      <c r="B217" s="14" t="s">
        <v>433</v>
      </c>
      <c r="C217" s="12" t="s">
        <v>434</v>
      </c>
      <c r="D217" s="14" t="s">
        <v>445</v>
      </c>
      <c r="E217" s="12" t="s">
        <v>446</v>
      </c>
      <c r="F217" s="14">
        <v>20.0</v>
      </c>
    </row>
    <row r="218" ht="15.75" customHeight="1">
      <c r="A218" s="10" t="s">
        <v>671</v>
      </c>
      <c r="B218" s="10" t="s">
        <v>437</v>
      </c>
      <c r="C218" s="6" t="s">
        <v>438</v>
      </c>
      <c r="D218" s="10" t="s">
        <v>445</v>
      </c>
      <c r="E218" s="6" t="s">
        <v>446</v>
      </c>
      <c r="F218" s="10">
        <v>8.0</v>
      </c>
    </row>
    <row r="219" ht="15.75" customHeight="1">
      <c r="A219" s="14" t="s">
        <v>672</v>
      </c>
      <c r="B219" s="14" t="s">
        <v>441</v>
      </c>
      <c r="C219" s="12" t="s">
        <v>442</v>
      </c>
      <c r="D219" s="14" t="s">
        <v>445</v>
      </c>
      <c r="E219" s="12" t="s">
        <v>446</v>
      </c>
      <c r="F219" s="14">
        <v>10.0</v>
      </c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32.0"/>
    <col customWidth="1" min="4" max="4" width="18.0"/>
    <col customWidth="1" min="5" max="6" width="8.71"/>
  </cols>
  <sheetData>
    <row r="1" ht="31.5" customHeight="1">
      <c r="A1" s="52" t="s">
        <v>673</v>
      </c>
      <c r="B1" s="2"/>
      <c r="C1" s="2"/>
      <c r="D1" s="2"/>
    </row>
    <row r="2" ht="24.0" customHeight="1">
      <c r="A2" s="4" t="s">
        <v>674</v>
      </c>
      <c r="B2" s="4" t="s">
        <v>675</v>
      </c>
      <c r="C2" s="4" t="s">
        <v>674</v>
      </c>
      <c r="D2" s="4" t="s">
        <v>675</v>
      </c>
    </row>
    <row r="3" ht="24.0" customHeight="1">
      <c r="A3" s="53" t="s">
        <v>676</v>
      </c>
      <c r="B3" s="54" t="str">
        <f>COUNTA(Components!A4:A106)</f>
        <v>103</v>
      </c>
      <c r="C3" s="53" t="s">
        <v>677</v>
      </c>
      <c r="D3" s="54" t="str">
        <f>216</f>
        <v>216</v>
      </c>
    </row>
    <row r="4" ht="24.0" customHeight="1">
      <c r="A4" s="55" t="s">
        <v>678</v>
      </c>
      <c r="B4" s="56" t="str">
        <f>COUNTIF(Components!F4:F106,"✓ CRITICAL")</f>
        <v>52</v>
      </c>
      <c r="C4" s="55" t="s">
        <v>679</v>
      </c>
      <c r="D4" s="56" t="str">
        <f>COUNTIF(Components!F4:F106,"—")</f>
        <v>51</v>
      </c>
    </row>
    <row r="5" ht="24.0" customHeight="1">
      <c r="A5" s="53" t="s">
        <v>680</v>
      </c>
      <c r="B5" s="54" t="str">
        <f>SUMIF(Components!F4:F106,"✓ CRITICAL",Components!E4:E106)</f>
        <v>1032</v>
      </c>
      <c r="C5" s="53" t="s">
        <v>681</v>
      </c>
      <c r="D5" s="54" t="str">
        <f>SUMIF(Components!E4:E106,"&gt;0",Components!E4:E106)</f>
        <v>1485</v>
      </c>
    </row>
    <row r="6" ht="24.0" customHeight="1">
      <c r="A6" s="55" t="s">
        <v>682</v>
      </c>
      <c r="B6" s="56" t="s">
        <v>683</v>
      </c>
      <c r="C6" s="55" t="s">
        <v>684</v>
      </c>
      <c r="D6" s="56" t="s">
        <v>685</v>
      </c>
    </row>
    <row r="7" ht="24.0" customHeight="1">
      <c r="A7" s="53" t="s">
        <v>686</v>
      </c>
      <c r="B7" s="54" t="s">
        <v>687</v>
      </c>
      <c r="C7" s="53" t="s">
        <v>688</v>
      </c>
      <c r="D7" s="54" t="s">
        <v>445</v>
      </c>
    </row>
    <row r="9" ht="15.0" customHeight="1">
      <c r="A9" s="57" t="s">
        <v>689</v>
      </c>
      <c r="B9" s="2"/>
      <c r="C9" s="2"/>
      <c r="D9" s="2"/>
    </row>
    <row r="10">
      <c r="A10" s="58" t="s">
        <v>4</v>
      </c>
      <c r="B10" s="58" t="s">
        <v>690</v>
      </c>
      <c r="C10" s="58" t="s">
        <v>691</v>
      </c>
      <c r="D10" s="58" t="s">
        <v>692</v>
      </c>
    </row>
    <row r="11" ht="19.5" customHeight="1">
      <c r="A11" s="59" t="s">
        <v>13</v>
      </c>
      <c r="B11" s="60">
        <v>15.0</v>
      </c>
      <c r="C11" s="60">
        <v>254.0</v>
      </c>
      <c r="D11" s="61" t="s">
        <v>693</v>
      </c>
    </row>
    <row r="12" ht="19.5" customHeight="1">
      <c r="A12" s="62" t="s">
        <v>80</v>
      </c>
      <c r="B12" s="63">
        <v>9.0</v>
      </c>
      <c r="C12" s="63">
        <v>114.0</v>
      </c>
      <c r="D12" s="64" t="s">
        <v>694</v>
      </c>
    </row>
    <row r="13" ht="19.5" customHeight="1">
      <c r="A13" s="59" t="s">
        <v>117</v>
      </c>
      <c r="B13" s="60">
        <v>5.0</v>
      </c>
      <c r="C13" s="60">
        <v>68.0</v>
      </c>
      <c r="D13" s="65" t="s">
        <v>695</v>
      </c>
    </row>
    <row r="14" ht="19.5" customHeight="1">
      <c r="A14" s="62" t="s">
        <v>138</v>
      </c>
      <c r="B14" s="63">
        <v>5.0</v>
      </c>
      <c r="C14" s="63">
        <v>58.0</v>
      </c>
      <c r="D14" s="66" t="s">
        <v>696</v>
      </c>
    </row>
    <row r="15" ht="19.5" customHeight="1">
      <c r="A15" s="59" t="s">
        <v>160</v>
      </c>
      <c r="B15" s="60">
        <v>4.0</v>
      </c>
      <c r="C15" s="60">
        <v>58.0</v>
      </c>
      <c r="D15" s="67" t="s">
        <v>697</v>
      </c>
    </row>
    <row r="16" ht="19.5" customHeight="1">
      <c r="A16" s="62" t="s">
        <v>179</v>
      </c>
      <c r="B16" s="63">
        <v>4.0</v>
      </c>
      <c r="C16" s="63">
        <v>24.0</v>
      </c>
      <c r="D16" s="68" t="s">
        <v>698</v>
      </c>
    </row>
    <row r="17" ht="19.5" customHeight="1">
      <c r="A17" s="59" t="s">
        <v>195</v>
      </c>
      <c r="B17" s="60">
        <v>3.0</v>
      </c>
      <c r="C17" s="60">
        <v>22.0</v>
      </c>
      <c r="D17" s="69" t="s">
        <v>699</v>
      </c>
    </row>
    <row r="18" ht="19.5" customHeight="1">
      <c r="A18" s="62" t="s">
        <v>209</v>
      </c>
      <c r="B18" s="63">
        <v>3.0</v>
      </c>
      <c r="C18" s="63">
        <v>22.0</v>
      </c>
      <c r="D18" s="70" t="s">
        <v>700</v>
      </c>
    </row>
    <row r="19" ht="19.5" customHeight="1">
      <c r="A19" s="59" t="s">
        <v>223</v>
      </c>
      <c r="B19" s="60">
        <v>3.0</v>
      </c>
      <c r="C19" s="60">
        <v>34.0</v>
      </c>
      <c r="D19" s="71" t="s">
        <v>701</v>
      </c>
    </row>
    <row r="20" ht="19.5" customHeight="1">
      <c r="A20" s="62" t="s">
        <v>237</v>
      </c>
      <c r="B20" s="63">
        <v>4.0</v>
      </c>
      <c r="C20" s="63">
        <v>132.0</v>
      </c>
      <c r="D20" s="72" t="s">
        <v>702</v>
      </c>
    </row>
    <row r="21" ht="19.5" customHeight="1">
      <c r="A21" s="59" t="s">
        <v>255</v>
      </c>
      <c r="B21" s="60">
        <v>6.0</v>
      </c>
      <c r="C21" s="60">
        <v>56.0</v>
      </c>
      <c r="D21" s="73" t="s">
        <v>703</v>
      </c>
    </row>
    <row r="22" ht="19.5" customHeight="1">
      <c r="A22" s="62" t="s">
        <v>277</v>
      </c>
      <c r="B22" s="63">
        <v>6.0</v>
      </c>
      <c r="C22" s="63">
        <v>58.0</v>
      </c>
      <c r="D22" s="74" t="s">
        <v>704</v>
      </c>
    </row>
    <row r="23" ht="19.5" customHeight="1">
      <c r="A23" s="59" t="s">
        <v>298</v>
      </c>
      <c r="B23" s="60">
        <v>5.0</v>
      </c>
      <c r="C23" s="60">
        <v>148.0</v>
      </c>
      <c r="D23" s="75" t="s">
        <v>705</v>
      </c>
    </row>
    <row r="24" ht="19.5" customHeight="1">
      <c r="A24" s="62" t="s">
        <v>319</v>
      </c>
      <c r="B24" s="63">
        <v>4.0</v>
      </c>
      <c r="C24" s="63">
        <v>84.0</v>
      </c>
      <c r="D24" s="76" t="s">
        <v>706</v>
      </c>
    </row>
    <row r="25" ht="19.5" customHeight="1">
      <c r="A25" s="59" t="s">
        <v>334</v>
      </c>
      <c r="B25" s="60">
        <v>5.0</v>
      </c>
      <c r="C25" s="60">
        <v>112.0</v>
      </c>
      <c r="D25" s="77" t="s">
        <v>707</v>
      </c>
    </row>
    <row r="26" ht="19.5" customHeight="1">
      <c r="A26" s="62" t="s">
        <v>357</v>
      </c>
      <c r="B26" s="63">
        <v>6.0</v>
      </c>
      <c r="C26" s="63">
        <v>68.0</v>
      </c>
      <c r="D26" s="78" t="s">
        <v>708</v>
      </c>
    </row>
    <row r="27" ht="19.5" customHeight="1">
      <c r="A27" s="59" t="s">
        <v>383</v>
      </c>
      <c r="B27" s="60">
        <v>3.0</v>
      </c>
      <c r="C27" s="60">
        <v>18.0</v>
      </c>
      <c r="D27" s="79" t="s">
        <v>709</v>
      </c>
    </row>
    <row r="28" ht="19.5" customHeight="1">
      <c r="A28" s="62" t="s">
        <v>396</v>
      </c>
      <c r="B28" s="63">
        <v>6.0</v>
      </c>
      <c r="C28" s="63">
        <v>57.0</v>
      </c>
      <c r="D28" s="80" t="s">
        <v>710</v>
      </c>
    </row>
    <row r="29" ht="19.5" customHeight="1">
      <c r="A29" s="59" t="s">
        <v>422</v>
      </c>
      <c r="B29" s="60">
        <v>7.0</v>
      </c>
      <c r="C29" s="60">
        <v>98.0</v>
      </c>
      <c r="D29" s="81" t="s">
        <v>711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D1"/>
    <mergeCell ref="A9:D9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2026-05-06T04:02:49Z</dcterms:created>
  <dc:creator>openpyxl</dc:creator>
  <dc:description/>
  <dc:language>en-US</dc:language>
  <cp:lastModifiedBy/>
  <dcterms:modified xsi:type="dcterms:W3CDTF">2026-05-06T04:02:50Z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